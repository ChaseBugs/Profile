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E:\Github\Jude0629\Profile\Candidate (2)\share\devs\"/>
    </mc:Choice>
  </mc:AlternateContent>
  <xr:revisionPtr revIDLastSave="0" documentId="13_ncr:1_{209489B5-F811-46A1-A8E7-7245E5723CE5}" xr6:coauthVersionLast="47" xr6:coauthVersionMax="47" xr10:uidLastSave="{00000000-0000-0000-0000-000000000000}"/>
  <bookViews>
    <workbookView xWindow="-120" yWindow="-120" windowWidth="38640" windowHeight="21120" tabRatio="692" firstSheet="1" activeTab="7" xr2:uid="{00000000-000D-0000-FFFF-FFFF00000000}"/>
  </bookViews>
  <sheets>
    <sheet name="Bank Account" sheetId="6" r:id="rId1"/>
    <sheet name="Interviewnew-2024" sheetId="13" r:id="rId2"/>
    <sheet name="New Battle" sheetId="15" r:id="rId3"/>
    <sheet name="Dev Info" sheetId="11" r:id="rId4"/>
    <sheet name="Shipping" sheetId="8" r:id="rId5"/>
    <sheet name="Income" sheetId="7" r:id="rId6"/>
    <sheet name="Profile Manage" sheetId="10" r:id="rId7"/>
    <sheet name="Devs" sheetId="3" r:id="rId8"/>
    <sheet name="Sheet2" sheetId="12" r:id="rId9"/>
    <sheet name="Linkedin" sheetId="1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3" l="1"/>
  <c r="AC30" i="10"/>
  <c r="AB23" i="10"/>
  <c r="AA23" i="10"/>
  <c r="AA20" i="10"/>
  <c r="AB19" i="10"/>
  <c r="I279" i="7"/>
  <c r="H279" i="7"/>
  <c r="H240" i="7"/>
  <c r="H237" i="7"/>
  <c r="I236" i="7"/>
  <c r="H230" i="7"/>
  <c r="D218" i="7"/>
  <c r="E157" i="7"/>
  <c r="I146" i="7"/>
  <c r="H146" i="7"/>
  <c r="E110" i="7"/>
  <c r="H97" i="7"/>
  <c r="H47" i="7"/>
  <c r="H16" i="7"/>
  <c r="M15" i="7"/>
  <c r="R6" i="7"/>
  <c r="P6" i="7"/>
  <c r="M4" i="6"/>
</calcChain>
</file>

<file path=xl/sharedStrings.xml><?xml version="1.0" encoding="utf-8"?>
<sst xmlns="http://schemas.openxmlformats.org/spreadsheetml/2006/main" count="4728" uniqueCount="1394">
  <si>
    <t>Company Name</t>
  </si>
  <si>
    <t>Account</t>
  </si>
  <si>
    <t xml:space="preserve">Routing </t>
  </si>
  <si>
    <t>Bank Name</t>
  </si>
  <si>
    <t>Status</t>
  </si>
  <si>
    <t>Next Paydate</t>
  </si>
  <si>
    <t>Developer</t>
  </si>
  <si>
    <t>Outsourcing</t>
  </si>
  <si>
    <t>Paydate</t>
  </si>
  <si>
    <t>Method</t>
  </si>
  <si>
    <t>Rate</t>
  </si>
  <si>
    <t>PNC BANK-Incendonic</t>
  </si>
  <si>
    <t>Marco Alcaraz</t>
  </si>
  <si>
    <t>R:061120084</t>
  </si>
  <si>
    <t>A:4028159109095</t>
  </si>
  <si>
    <t>First Century Bank</t>
  </si>
  <si>
    <t>Semi</t>
  </si>
  <si>
    <t>Birasoft</t>
  </si>
  <si>
    <t>Curtis Williams</t>
  </si>
  <si>
    <t>R:101019644</t>
  </si>
  <si>
    <t>Account:219373608069</t>
  </si>
  <si>
    <t>Lead</t>
  </si>
  <si>
    <t>Muhammad Moiz-Skype</t>
  </si>
  <si>
    <t>Dec30</t>
  </si>
  <si>
    <t>starlink</t>
  </si>
  <si>
    <t>United Airline-Experis</t>
  </si>
  <si>
    <t>101019644</t>
  </si>
  <si>
    <t>216346333848</t>
  </si>
  <si>
    <t>CitiBank</t>
  </si>
  <si>
    <t>Monthly</t>
  </si>
  <si>
    <t xml:space="preserve">Fortitude-MrCooper </t>
  </si>
  <si>
    <t>R:031100209</t>
  </si>
  <si>
    <t>Account:70583170000482660</t>
  </si>
  <si>
    <t>Weekly</t>
  </si>
  <si>
    <t>crypto</t>
  </si>
  <si>
    <t>Dedrone</t>
  </si>
  <si>
    <t>Matthew Beato</t>
  </si>
  <si>
    <t>Account:218410322264</t>
  </si>
  <si>
    <t>First</t>
  </si>
  <si>
    <t>Moiz</t>
  </si>
  <si>
    <t>Ebiquity</t>
  </si>
  <si>
    <t>Allen Liu</t>
  </si>
  <si>
    <t>Work</t>
  </si>
  <si>
    <t>Shahab</t>
  </si>
  <si>
    <t>Extreme Network</t>
  </si>
  <si>
    <t>A:70589090000546567</t>
  </si>
  <si>
    <t>PHaram</t>
  </si>
  <si>
    <t>Horizontal-CoBank</t>
  </si>
  <si>
    <t>Clement Ho</t>
  </si>
  <si>
    <t>R:091311229</t>
  </si>
  <si>
    <t>Account:202493650511</t>
  </si>
  <si>
    <t>work</t>
  </si>
  <si>
    <t>Amir-Skype</t>
  </si>
  <si>
    <t>2200-2500</t>
  </si>
  <si>
    <t>Crypto</t>
  </si>
  <si>
    <t>UST</t>
  </si>
  <si>
    <t>Frank Pernice</t>
  </si>
  <si>
    <t>Account: 70583170000482660</t>
  </si>
  <si>
    <t>Pooya Poorian-Telegram</t>
  </si>
  <si>
    <t>Mphasis</t>
  </si>
  <si>
    <t>Account:202492833071</t>
  </si>
  <si>
    <t>Native</t>
  </si>
  <si>
    <t>detected location</t>
  </si>
  <si>
    <t>Innova-Adp</t>
  </si>
  <si>
    <t>Frank pernice</t>
  </si>
  <si>
    <t>Account:70580100000989626</t>
  </si>
  <si>
    <t>Cotiviti</t>
  </si>
  <si>
    <t>Account:70585100000434238</t>
  </si>
  <si>
    <t>checking</t>
  </si>
  <si>
    <t>Syed-Skype</t>
  </si>
  <si>
    <t>Adobe-Ask Consulting</t>
  </si>
  <si>
    <t>William</t>
  </si>
  <si>
    <t>LTIMindtree</t>
  </si>
  <si>
    <t>Charles</t>
  </si>
  <si>
    <t>Not working</t>
  </si>
  <si>
    <t>Cambium Lear OSV</t>
  </si>
  <si>
    <t>Kentrell</t>
  </si>
  <si>
    <t>Stellar-Matrix</t>
  </si>
  <si>
    <t>Diamond</t>
  </si>
  <si>
    <t>Dexian-Geico</t>
  </si>
  <si>
    <t>Marco</t>
  </si>
  <si>
    <t>Account:70588590000202658</t>
  </si>
  <si>
    <t xml:space="preserve">Davita-Ready </t>
  </si>
  <si>
    <t>Wipro</t>
  </si>
  <si>
    <t>SWDigital Service LLC</t>
  </si>
  <si>
    <t>Vysion Software LLC</t>
  </si>
  <si>
    <t>A:703038771313</t>
  </si>
  <si>
    <t>R:026015053</t>
  </si>
  <si>
    <t>Hern Capital LLC</t>
  </si>
  <si>
    <t>R:065000090</t>
  </si>
  <si>
    <t>Cisco</t>
  </si>
  <si>
    <t>PCG</t>
  </si>
  <si>
    <t>Altera</t>
  </si>
  <si>
    <t>PGH</t>
  </si>
  <si>
    <t>RJS</t>
  </si>
  <si>
    <t>Apple-Artech</t>
  </si>
  <si>
    <t>HeWM</t>
  </si>
  <si>
    <t>CSCI</t>
  </si>
  <si>
    <t>Redwood</t>
  </si>
  <si>
    <t>HWM</t>
  </si>
  <si>
    <t>KJM</t>
  </si>
  <si>
    <t>Noble</t>
  </si>
  <si>
    <t xml:space="preserve">Eccalon </t>
  </si>
  <si>
    <t>Konami</t>
  </si>
  <si>
    <t>KCG</t>
  </si>
  <si>
    <t>Day</t>
  </si>
  <si>
    <t>Time</t>
  </si>
  <si>
    <t>Company</t>
  </si>
  <si>
    <t>Name</t>
  </si>
  <si>
    <t>Interviewee</t>
  </si>
  <si>
    <t>Stack</t>
  </si>
  <si>
    <t>Round</t>
  </si>
  <si>
    <t>Duration</t>
  </si>
  <si>
    <t>Contract</t>
  </si>
  <si>
    <t>Salary</t>
  </si>
  <si>
    <t>Interviewer</t>
  </si>
  <si>
    <t>Recruiter name</t>
  </si>
  <si>
    <t>Number</t>
  </si>
  <si>
    <t>Feedback</t>
  </si>
  <si>
    <t>Link</t>
  </si>
  <si>
    <t>11:30-12:00</t>
  </si>
  <si>
    <t>Mayo Clinic</t>
  </si>
  <si>
    <t>Syed</t>
  </si>
  <si>
    <t>Java</t>
  </si>
  <si>
    <t>Intro</t>
  </si>
  <si>
    <t>30min</t>
  </si>
  <si>
    <t>12:00-12:30</t>
  </si>
  <si>
    <t>Kunai</t>
  </si>
  <si>
    <t>Mehi</t>
  </si>
  <si>
    <t>Python</t>
  </si>
  <si>
    <t>2:00-2:30</t>
  </si>
  <si>
    <t>Fulcrum Digital</t>
  </si>
  <si>
    <t>Richard</t>
  </si>
  <si>
    <t>API</t>
  </si>
  <si>
    <t>11:00-11:30</t>
  </si>
  <si>
    <t>Real</t>
  </si>
  <si>
    <t>java</t>
  </si>
  <si>
    <t>intro</t>
  </si>
  <si>
    <t>Health Gorilla</t>
  </si>
  <si>
    <t>Matt Beato</t>
  </si>
  <si>
    <t>9:00-10:00</t>
  </si>
  <si>
    <t>Joseph</t>
  </si>
  <si>
    <t>Amir</t>
  </si>
  <si>
    <t>React=Java</t>
  </si>
  <si>
    <t>8:30-9:00</t>
  </si>
  <si>
    <t>Tech</t>
  </si>
  <si>
    <t>1:00-1:30</t>
  </si>
  <si>
    <t>Kelly</t>
  </si>
  <si>
    <t>Pooya</t>
  </si>
  <si>
    <t>GraphQL</t>
  </si>
  <si>
    <t>2:00-3:00</t>
  </si>
  <si>
    <t>Disney</t>
  </si>
  <si>
    <t>1hour</t>
  </si>
  <si>
    <t>11;30-11:45</t>
  </si>
  <si>
    <t>KSG</t>
  </si>
  <si>
    <t>15min</t>
  </si>
  <si>
    <t>12;30-12:45</t>
  </si>
  <si>
    <t>Supernova</t>
  </si>
  <si>
    <t>MoneyThumb</t>
  </si>
  <si>
    <t>9:30-10:15</t>
  </si>
  <si>
    <t>OpenClinica</t>
  </si>
  <si>
    <t>45min</t>
  </si>
  <si>
    <t>Reschedule require</t>
  </si>
  <si>
    <t>10:00-10:30</t>
  </si>
  <si>
    <r>
      <rPr>
        <sz val="10.5"/>
        <color rgb="FF5E5E5E"/>
        <rFont val="Helvetica"/>
      </rPr>
      <t>gotoeis</t>
    </r>
  </si>
  <si>
    <t>React+Java</t>
  </si>
  <si>
    <t>Done</t>
  </si>
  <si>
    <t>11;00-11:15</t>
  </si>
  <si>
    <t>1:00-2:00</t>
  </si>
  <si>
    <t>Wrong link</t>
  </si>
  <si>
    <t>4:30-5:00</t>
  </si>
  <si>
    <t>NetDocuments</t>
  </si>
  <si>
    <t>Matt</t>
  </si>
  <si>
    <t>Java+AWS</t>
  </si>
  <si>
    <t>Telestream</t>
  </si>
  <si>
    <t>Manager</t>
  </si>
  <si>
    <t>10am-11am</t>
  </si>
  <si>
    <t>Vertex</t>
  </si>
  <si>
    <t>Eric</t>
  </si>
  <si>
    <t>Second-Tech</t>
  </si>
  <si>
    <t>Good</t>
  </si>
  <si>
    <t>Actabl</t>
  </si>
  <si>
    <t>Farrukh</t>
  </si>
  <si>
    <t>12:30-1:30</t>
  </si>
  <si>
    <t>PathPresenter</t>
  </si>
  <si>
    <t>Frank</t>
  </si>
  <si>
    <t>1;30-2:00</t>
  </si>
  <si>
    <t>Aquent</t>
  </si>
  <si>
    <t>James</t>
  </si>
  <si>
    <t>.net</t>
  </si>
  <si>
    <t>3:00-3:30</t>
  </si>
  <si>
    <t>Fico</t>
  </si>
  <si>
    <t>7:00-8:00</t>
  </si>
  <si>
    <t>Tech-Second</t>
  </si>
  <si>
    <t>confirm</t>
  </si>
  <si>
    <t>11:00-12:00</t>
  </si>
  <si>
    <t>Arham</t>
  </si>
  <si>
    <t>Finthrive</t>
  </si>
  <si>
    <t>Edward</t>
  </si>
  <si>
    <t>Zain</t>
  </si>
  <si>
    <t>.Net</t>
  </si>
  <si>
    <t>11:15-11:45</t>
  </si>
  <si>
    <t>Multiplan</t>
  </si>
  <si>
    <t>Nasir</t>
  </si>
  <si>
    <t>Confirm</t>
  </si>
  <si>
    <t>CTAC</t>
  </si>
  <si>
    <t>Vaco</t>
  </si>
  <si>
    <t>1:30-2:00</t>
  </si>
  <si>
    <t>HomeDepot</t>
  </si>
  <si>
    <t>1;00-2:00</t>
  </si>
  <si>
    <t>FullStack Labs</t>
  </si>
  <si>
    <t>Allen</t>
  </si>
  <si>
    <t>Cougaar Software</t>
  </si>
  <si>
    <t>2:30-3:00</t>
  </si>
  <si>
    <t>10:15-10:30</t>
  </si>
  <si>
    <t>Gainwell</t>
  </si>
  <si>
    <t>AllenLiu</t>
  </si>
  <si>
    <t>Zain Zafar</t>
  </si>
  <si>
    <t>Wartsila</t>
  </si>
  <si>
    <t>Onsite</t>
  </si>
  <si>
    <t>12:00-1:00</t>
  </si>
  <si>
    <t>1:00-1:15</t>
  </si>
  <si>
    <t>Third</t>
  </si>
  <si>
    <t>Boss-Amercian curios line</t>
  </si>
  <si>
    <t>Edwin</t>
  </si>
  <si>
    <r>
      <rPr>
        <b/>
        <sz val="14.05"/>
        <color rgb="FF5E5E5E"/>
        <rFont val="Helvetica"/>
      </rPr>
      <t>scoutsolutions</t>
    </r>
  </si>
  <si>
    <t>Zain0</t>
  </si>
  <si>
    <t>no one join</t>
  </si>
  <si>
    <t>1;30-1:55</t>
  </si>
  <si>
    <t>Empower</t>
  </si>
  <si>
    <t>Okta</t>
  </si>
  <si>
    <t>Ricahrd</t>
  </si>
  <si>
    <t>8:00-9:00</t>
  </si>
  <si>
    <t>10:00-11:00</t>
  </si>
  <si>
    <t>11:00-12:30</t>
  </si>
  <si>
    <t>Carnegie learning inc</t>
  </si>
  <si>
    <t>90min</t>
  </si>
  <si>
    <t>Tech-2</t>
  </si>
  <si>
    <t>Career Certified</t>
  </si>
  <si>
    <t>12:30-1:00</t>
  </si>
  <si>
    <t>Altarum</t>
  </si>
  <si>
    <t>hardwork</t>
  </si>
  <si>
    <t>1:30-2:30</t>
  </si>
  <si>
    <t>Bushel</t>
  </si>
  <si>
    <t>2;00-2:45</t>
  </si>
  <si>
    <t>GeHealthcare</t>
  </si>
  <si>
    <t>Christopher</t>
  </si>
  <si>
    <t>Final</t>
  </si>
  <si>
    <t>CTO</t>
  </si>
  <si>
    <t>2;00-2:30</t>
  </si>
  <si>
    <t>Jazz</t>
  </si>
  <si>
    <t>Wolfe</t>
  </si>
  <si>
    <t>4:00-4:30</t>
  </si>
  <si>
    <t>10:00-10:45</t>
  </si>
  <si>
    <t>Movemedical</t>
  </si>
  <si>
    <t>SomewearLabs</t>
  </si>
  <si>
    <t>Target</t>
  </si>
  <si>
    <t>12;00-12:30</t>
  </si>
  <si>
    <t>Geico</t>
  </si>
  <si>
    <t>GDIT</t>
  </si>
  <si>
    <t>Destify</t>
  </si>
  <si>
    <t>FinThrive</t>
  </si>
  <si>
    <t>10:30-11:00</t>
  </si>
  <si>
    <t>O’Reilly Auto Parts</t>
  </si>
  <si>
    <t>10:30-11:30</t>
  </si>
  <si>
    <t>Siemens Healthineers</t>
  </si>
  <si>
    <t>cibfurn</t>
  </si>
  <si>
    <t>12:00-12:15</t>
  </si>
  <si>
    <t>Kreative-Solutions-Group</t>
  </si>
  <si>
    <t>Daniel</t>
  </si>
  <si>
    <t>1:00-1;30</t>
  </si>
  <si>
    <t>Agile Engine</t>
  </si>
  <si>
    <t xml:space="preserve">Lorenzo </t>
  </si>
  <si>
    <t>3:00-4:00</t>
  </si>
  <si>
    <t>IRALOGIX</t>
  </si>
  <si>
    <t>Lexis</t>
  </si>
  <si>
    <t>Brandon</t>
  </si>
  <si>
    <t>Cardinal</t>
  </si>
  <si>
    <t>Daniel Mix</t>
  </si>
  <si>
    <t>JDA TSG</t>
  </si>
  <si>
    <t>Kashif</t>
  </si>
  <si>
    <t xml:space="preserve"> Jack Henry </t>
  </si>
  <si>
    <t>Socialmastery</t>
  </si>
  <si>
    <t>PGT Solutions</t>
  </si>
  <si>
    <t>2:30-3:30</t>
  </si>
  <si>
    <t>Capital</t>
  </si>
  <si>
    <t>Node+Angular</t>
  </si>
  <si>
    <t>2:00-3:30</t>
  </si>
  <si>
    <t>Tech-3</t>
  </si>
  <si>
    <t>Birlasoft</t>
  </si>
  <si>
    <t>John</t>
  </si>
  <si>
    <t xml:space="preserve"> </t>
  </si>
  <si>
    <t>12;30-1pm est</t>
  </si>
  <si>
    <t>PSIONLINE</t>
  </si>
  <si>
    <t>confirmed</t>
  </si>
  <si>
    <t>Jacob</t>
  </si>
  <si>
    <t>.Net+Java</t>
  </si>
  <si>
    <t>1:15-1:30</t>
  </si>
  <si>
    <t>ResultStack</t>
  </si>
  <si>
    <t>Michael</t>
  </si>
  <si>
    <t>Walter</t>
  </si>
  <si>
    <t>Recruiter</t>
  </si>
  <si>
    <t>1;00-1:30</t>
  </si>
  <si>
    <t>Innvasolutions</t>
  </si>
  <si>
    <t>1:00-1:45</t>
  </si>
  <si>
    <t>Twin Health</t>
  </si>
  <si>
    <t>Python+JS</t>
  </si>
  <si>
    <t>Jahnel Group</t>
  </si>
  <si>
    <t>Availity</t>
  </si>
  <si>
    <t>confimr</t>
  </si>
  <si>
    <t>2:00-2:15</t>
  </si>
  <si>
    <t>Pulsar Talent</t>
  </si>
  <si>
    <t>Farruke</t>
  </si>
  <si>
    <t>L-2</t>
  </si>
  <si>
    <t>3:00-3:15</t>
  </si>
  <si>
    <t>3:30-4:00</t>
  </si>
  <si>
    <t>11:30-12:30</t>
  </si>
  <si>
    <t>Garner Health</t>
  </si>
  <si>
    <t>RN</t>
  </si>
  <si>
    <t>12:00-12;30</t>
  </si>
  <si>
    <t>Wolters Kluwer</t>
  </si>
  <si>
    <t xml:space="preserve">Edwin </t>
  </si>
  <si>
    <t>12;30-1:00</t>
  </si>
  <si>
    <t>EDWARD JONES</t>
  </si>
  <si>
    <t>Abubakar</t>
  </si>
  <si>
    <t>recruiter call</t>
  </si>
  <si>
    <t>BRANDON</t>
  </si>
  <si>
    <t>1:45-2:15</t>
  </si>
  <si>
    <t>Voya</t>
  </si>
  <si>
    <t>David</t>
  </si>
  <si>
    <t>1:45-3:00</t>
  </si>
  <si>
    <t>fedex</t>
  </si>
  <si>
    <t>75min</t>
  </si>
  <si>
    <t>ImagineLearning</t>
  </si>
  <si>
    <t>React</t>
  </si>
  <si>
    <t>CARNEGIE LEARNING INC</t>
  </si>
  <si>
    <t>Cruise</t>
  </si>
  <si>
    <t>3:15-3:45</t>
  </si>
  <si>
    <t>10;00-10:15</t>
  </si>
  <si>
    <t>E2Open</t>
  </si>
  <si>
    <t>Java Lead</t>
  </si>
  <si>
    <t>TCS</t>
  </si>
  <si>
    <t>Not done</t>
  </si>
  <si>
    <t>ID card show</t>
  </si>
  <si>
    <t>11:00-11:45</t>
  </si>
  <si>
    <t>Tavant Onsite-Disney</t>
  </si>
  <si>
    <t>Lakarya</t>
  </si>
  <si>
    <t>Bradon</t>
  </si>
  <si>
    <t>TeamViewer</t>
  </si>
  <si>
    <t>Birlasoft-Syf</t>
  </si>
  <si>
    <t>Lead Java</t>
  </si>
  <si>
    <t>not done</t>
  </si>
  <si>
    <t>not send yet</t>
  </si>
  <si>
    <t>3:30-4:15</t>
  </si>
  <si>
    <t>Stella Source</t>
  </si>
  <si>
    <t>Outerbounds</t>
  </si>
  <si>
    <t>not interview</t>
  </si>
  <si>
    <t>ECRS</t>
  </si>
  <si>
    <t>Java+Vue</t>
  </si>
  <si>
    <t>java+python</t>
  </si>
  <si>
    <t>Primerica</t>
  </si>
  <si>
    <t>Angular+Node</t>
  </si>
  <si>
    <t>L-1</t>
  </si>
  <si>
    <t>skill not match</t>
  </si>
  <si>
    <t>2:00-2:45</t>
  </si>
  <si>
    <t>testingxperts</t>
  </si>
  <si>
    <t>Rescheduled</t>
  </si>
  <si>
    <t>4:00-5:00</t>
  </si>
  <si>
    <t>12:00-12:45</t>
  </si>
  <si>
    <t>Verisys</t>
  </si>
  <si>
    <t>Ripple Science</t>
  </si>
  <si>
    <t>Tylor</t>
  </si>
  <si>
    <t>Java+React</t>
  </si>
  <si>
    <t>Journal Technologies</t>
  </si>
  <si>
    <t>Softura</t>
  </si>
  <si>
    <t xml:space="preserve">William </t>
  </si>
  <si>
    <t>120k</t>
  </si>
  <si>
    <t>10:15-10:45</t>
  </si>
  <si>
    <t>agileengine</t>
  </si>
  <si>
    <t>Matthew </t>
  </si>
  <si>
    <t>arham</t>
  </si>
  <si>
    <t>joined with wrong name "Allen" but coverd it</t>
  </si>
  <si>
    <t>fico</t>
  </si>
  <si>
    <t>Devin</t>
  </si>
  <si>
    <t>Not Done</t>
  </si>
  <si>
    <t>not joined because interviewers didn't jon</t>
  </si>
  <si>
    <t>10:45-11:30</t>
  </si>
  <si>
    <t>Oracle </t>
  </si>
  <si>
    <t>frank</t>
  </si>
  <si>
    <t>rescheduled because of low bandwidth</t>
  </si>
  <si>
    <t>atmosera</t>
  </si>
  <si>
    <t>rescheduled</t>
  </si>
  <si>
    <t>13:00-14:00</t>
  </si>
  <si>
    <t>amazon</t>
  </si>
  <si>
    <t>Sameel</t>
  </si>
  <si>
    <t>Front-end</t>
  </si>
  <si>
    <t>tech</t>
  </si>
  <si>
    <t>60min</t>
  </si>
  <si>
    <t>cisco</t>
  </si>
  <si>
    <t>David Cummins</t>
  </si>
  <si>
    <t>avisoft</t>
  </si>
  <si>
    <t>devops</t>
  </si>
  <si>
    <t>3:30-3:45</t>
  </si>
  <si>
    <t>PTP</t>
  </si>
  <si>
    <t>Java+Cloud</t>
  </si>
  <si>
    <t>NISC</t>
  </si>
  <si>
    <t>Angular+Java(f)</t>
  </si>
  <si>
    <t>Consensys</t>
  </si>
  <si>
    <t>Tech(second)</t>
  </si>
  <si>
    <t>SIB</t>
  </si>
  <si>
    <t>Lead Java Architect</t>
  </si>
  <si>
    <t>Tyler</t>
  </si>
  <si>
    <t>Qasim</t>
  </si>
  <si>
    <t>Fanatics Betting Game</t>
  </si>
  <si>
    <t>OnSite</t>
  </si>
  <si>
    <t>GXO</t>
  </si>
  <si>
    <t>AuthenticID</t>
  </si>
  <si>
    <t>Tech(2)</t>
  </si>
  <si>
    <t>Sailpoint</t>
  </si>
  <si>
    <t>nasir</t>
  </si>
  <si>
    <t>11:00-11:15</t>
  </si>
  <si>
    <t>Symetra</t>
  </si>
  <si>
    <t>Phone</t>
  </si>
  <si>
    <t>Equip Health</t>
  </si>
  <si>
    <t>Matthew</t>
  </si>
  <si>
    <t>Me Done</t>
  </si>
  <si>
    <t>3;00-3:25</t>
  </si>
  <si>
    <t>3;30-4:00</t>
  </si>
  <si>
    <t>Farruk</t>
  </si>
  <si>
    <t>5:00-5:45</t>
  </si>
  <si>
    <t>9:30-10:00</t>
  </si>
  <si>
    <t>BCBS</t>
  </si>
  <si>
    <t>10:30-12:45</t>
  </si>
  <si>
    <t xml:space="preserve"> Stride Build</t>
  </si>
  <si>
    <t>2hour</t>
  </si>
  <si>
    <t>11;30-12:00</t>
  </si>
  <si>
    <t>On24</t>
  </si>
  <si>
    <t>Steris</t>
  </si>
  <si>
    <t>12:30-1:15</t>
  </si>
  <si>
    <t>DiscoverDynamo</t>
  </si>
  <si>
    <t>Assigned</t>
  </si>
  <si>
    <t>1:00-3:00</t>
  </si>
  <si>
    <t>Solvent</t>
  </si>
  <si>
    <t>Alkon</t>
  </si>
  <si>
    <t>React+Node</t>
  </si>
  <si>
    <t>3:0-3:30</t>
  </si>
  <si>
    <t>4:30-5:30</t>
  </si>
  <si>
    <t>FSD</t>
  </si>
  <si>
    <t>.Net+React</t>
  </si>
  <si>
    <t>11am-4pm</t>
  </si>
  <si>
    <t>5hours</t>
  </si>
  <si>
    <t>Veriforce</t>
  </si>
  <si>
    <t>Epam</t>
  </si>
  <si>
    <t>AgileEngine</t>
  </si>
  <si>
    <t>Syed can try</t>
  </si>
  <si>
    <t>1:30-1:45</t>
  </si>
  <si>
    <t>UpContent</t>
  </si>
  <si>
    <t>recruier</t>
  </si>
  <si>
    <t>Vatlis</t>
  </si>
  <si>
    <t>DevOps</t>
  </si>
  <si>
    <t>3:00-3:45</t>
  </si>
  <si>
    <t xml:space="preserve"> iSoftTek Solutions Inc</t>
  </si>
  <si>
    <t>Erficient</t>
  </si>
  <si>
    <t>FinQuery</t>
  </si>
  <si>
    <t xml:space="preserve">Devon </t>
  </si>
  <si>
    <t>Oracle America, Inc</t>
  </si>
  <si>
    <t>Credit Genie</t>
  </si>
  <si>
    <t>Node+Python</t>
  </si>
  <si>
    <t>Oracle</t>
  </si>
  <si>
    <t>Jey</t>
  </si>
  <si>
    <t>Java+Python</t>
  </si>
  <si>
    <t>No one join</t>
  </si>
  <si>
    <t>not confirm</t>
  </si>
  <si>
    <t>XO Health</t>
  </si>
  <si>
    <t>.Net+Angular</t>
  </si>
  <si>
    <t>Blackrock</t>
  </si>
  <si>
    <t>Yum Brand</t>
  </si>
  <si>
    <t>Ajmera</t>
  </si>
  <si>
    <t>FullStream</t>
  </si>
  <si>
    <t>Railroad19</t>
  </si>
  <si>
    <t>12:15-1:15</t>
  </si>
  <si>
    <t>1;30-2;00</t>
  </si>
  <si>
    <t>TwinHealth</t>
  </si>
  <si>
    <t>2;00-3:00</t>
  </si>
  <si>
    <t>MasterControl</t>
  </si>
  <si>
    <t>Alaska Airlines</t>
  </si>
  <si>
    <t>Amazon</t>
  </si>
  <si>
    <t>9:30-9:45</t>
  </si>
  <si>
    <t>Horizontal</t>
  </si>
  <si>
    <t>9:45-10:00</t>
  </si>
  <si>
    <t>Sparrowbid</t>
  </si>
  <si>
    <t>Me</t>
  </si>
  <si>
    <t>4:00-5;00</t>
  </si>
  <si>
    <t>10:30am – 12:45pm</t>
  </si>
  <si>
    <t>Stride Build</t>
  </si>
  <si>
    <t>.NET</t>
  </si>
  <si>
    <t>135min</t>
  </si>
  <si>
    <t>assigned</t>
  </si>
  <si>
    <t>Aflac</t>
  </si>
  <si>
    <t>Arham-J</t>
  </si>
  <si>
    <t>(sr)Java/React or Angular</t>
  </si>
  <si>
    <t>1pm – 1:45pm</t>
  </si>
  <si>
    <t>USPS</t>
  </si>
  <si>
    <t>train</t>
  </si>
  <si>
    <t>1pm – 2pm</t>
  </si>
  <si>
    <t>Command Alkon</t>
  </si>
  <si>
    <t>React/Node</t>
  </si>
  <si>
    <t>2 - 2:45 pm</t>
  </si>
  <si>
    <t>perficient</t>
  </si>
  <si>
    <t>.NET/Angular</t>
  </si>
  <si>
    <t>Lactation Network</t>
  </si>
  <si>
    <t>Douglas</t>
  </si>
  <si>
    <t>Azeem</t>
  </si>
  <si>
    <t>2:45-3pm</t>
  </si>
  <si>
    <t>Idexx</t>
  </si>
  <si>
    <t>Java/NodeJS</t>
  </si>
  <si>
    <t>3pm – 3:30pm</t>
  </si>
  <si>
    <t>Think of us</t>
  </si>
  <si>
    <t>Shoaib</t>
  </si>
  <si>
    <t>(lead).NET</t>
  </si>
  <si>
    <t>SparrowBid</t>
  </si>
  <si>
    <t>Kvortex</t>
  </si>
  <si>
    <t>id card require</t>
  </si>
  <si>
    <t>Java fullstack</t>
  </si>
  <si>
    <t>Flooid</t>
  </si>
  <si>
    <t>Java+Angular</t>
  </si>
  <si>
    <t>11:30-12:15</t>
  </si>
  <si>
    <t>Point ClickCare</t>
  </si>
  <si>
    <t>Innovalon</t>
  </si>
  <si>
    <t>Cloud+.Net</t>
  </si>
  <si>
    <t>BayNova</t>
  </si>
  <si>
    <t>not good</t>
  </si>
  <si>
    <t>Proficient</t>
  </si>
  <si>
    <t>SeedTrust</t>
  </si>
  <si>
    <t>Kapitus</t>
  </si>
  <si>
    <t>Python+Node</t>
  </si>
  <si>
    <t>Devops</t>
  </si>
  <si>
    <t>4:00-4:50</t>
  </si>
  <si>
    <t xml:space="preserve">State of Wisconsin </t>
  </si>
  <si>
    <t>50min</t>
  </si>
  <si>
    <t>HCL</t>
  </si>
  <si>
    <t>Danile</t>
  </si>
  <si>
    <t>Cloud+DevOps</t>
  </si>
  <si>
    <t>American Speciality Health</t>
  </si>
  <si>
    <t>Jain</t>
  </si>
  <si>
    <t>TechMahindra</t>
  </si>
  <si>
    <t>12:00-12:10</t>
  </si>
  <si>
    <t>Wizcom</t>
  </si>
  <si>
    <t>zain</t>
  </si>
  <si>
    <t>10min</t>
  </si>
  <si>
    <t>12:45-1:45</t>
  </si>
  <si>
    <t>Mutual of Omaha</t>
  </si>
  <si>
    <t>Rescheudled</t>
  </si>
  <si>
    <t>12:50-2:00</t>
  </si>
  <si>
    <t>Keyrock</t>
  </si>
  <si>
    <t>Crypto+Node</t>
  </si>
  <si>
    <t>1:45-2:00</t>
  </si>
  <si>
    <t>KSG Info</t>
  </si>
  <si>
    <t>UCLA</t>
  </si>
  <si>
    <t>Ismaeel</t>
  </si>
  <si>
    <t>iCEV</t>
  </si>
  <si>
    <t>eHealth</t>
  </si>
  <si>
    <t>JS+Java</t>
  </si>
  <si>
    <t>Liberty-Mutal-Insurance</t>
  </si>
  <si>
    <t>JS+React</t>
  </si>
  <si>
    <t>1:50-2:00</t>
  </si>
  <si>
    <t>Vue+Node</t>
  </si>
  <si>
    <t>MERN</t>
  </si>
  <si>
    <t>Sprchrgr</t>
  </si>
  <si>
    <t>ERic</t>
  </si>
  <si>
    <t>HarrisComputer</t>
  </si>
  <si>
    <t>2:45-3:45</t>
  </si>
  <si>
    <t>asked reschedule</t>
  </si>
  <si>
    <t>Capstone</t>
  </si>
  <si>
    <t>Python+React</t>
  </si>
  <si>
    <t>3Pillar-Global</t>
  </si>
  <si>
    <t>AutenticID</t>
  </si>
  <si>
    <t>Fianl</t>
  </si>
  <si>
    <t>Celero</t>
  </si>
  <si>
    <t>GraphQL+React</t>
  </si>
  <si>
    <t>11:30-11:55</t>
  </si>
  <si>
    <t>Fitmatch</t>
  </si>
  <si>
    <t>Python+TS</t>
  </si>
  <si>
    <t>25min</t>
  </si>
  <si>
    <t>Signature Performance</t>
  </si>
  <si>
    <t>1:300-2:00</t>
  </si>
  <si>
    <t>Perforce</t>
  </si>
  <si>
    <t>Node+React</t>
  </si>
  <si>
    <t>reschedule require</t>
  </si>
  <si>
    <t>Nymbus</t>
  </si>
  <si>
    <t>JOhn</t>
  </si>
  <si>
    <t>Shahzad</t>
  </si>
  <si>
    <t>45hour</t>
  </si>
  <si>
    <t>Eic</t>
  </si>
  <si>
    <t>Isameel</t>
  </si>
  <si>
    <t>Stride Buiild</t>
  </si>
  <si>
    <t>Exodus Movement Inc</t>
  </si>
  <si>
    <t>Kevin</t>
  </si>
  <si>
    <t>Second</t>
  </si>
  <si>
    <t>Theradex</t>
  </si>
  <si>
    <t>reschdule require</t>
  </si>
  <si>
    <t>Trbe</t>
  </si>
  <si>
    <t>Vertexinc</t>
  </si>
  <si>
    <t>State of Wisconsin</t>
  </si>
  <si>
    <t>ICEV</t>
  </si>
  <si>
    <t>Mcgovern</t>
  </si>
  <si>
    <t>StackSport</t>
  </si>
  <si>
    <t>.Net/Angular</t>
  </si>
  <si>
    <t>INtro</t>
  </si>
  <si>
    <t>definedsoftware.com</t>
  </si>
  <si>
    <t>1:00-1:20</t>
  </si>
  <si>
    <t>Cogitativo</t>
  </si>
  <si>
    <t>Abdul</t>
  </si>
  <si>
    <t>Python+Java</t>
  </si>
  <si>
    <t>20min</t>
  </si>
  <si>
    <t>sumerusolutions.com</t>
  </si>
  <si>
    <t>Ismaeel Mughal</t>
  </si>
  <si>
    <t>Java, blockchain</t>
  </si>
  <si>
    <t>done</t>
  </si>
  <si>
    <t>12pm – 12:30pm</t>
  </si>
  <si>
    <t>WebstaurantStore</t>
  </si>
  <si>
    <t>Shahab Lohdi</t>
  </si>
  <si>
    <t>11am – 11:15am</t>
  </si>
  <si>
    <t>Systone</t>
  </si>
  <si>
    <t>Shahzad Raza</t>
  </si>
  <si>
    <t>Java / Spring Boot / AWS</t>
  </si>
  <si>
    <t>1:30pm – 2pm</t>
  </si>
  <si>
    <t>Altera Digital Health</t>
  </si>
  <si>
    <t>.NET / Angular or React</t>
  </si>
  <si>
    <t>2pm – 2:30pm</t>
  </si>
  <si>
    <t>Tevora-MightyID</t>
  </si>
  <si>
    <t>Sameel-React+Node</t>
  </si>
  <si>
    <t>Node / React / Vue / AWS</t>
  </si>
  <si>
    <t>12:00 – 12:30pm</t>
  </si>
  <si>
    <t>definedsoftware</t>
  </si>
  <si>
    <t>2:30 – 3:00pm</t>
  </si>
  <si>
    <t>sumerusolutions</t>
  </si>
  <si>
    <t>Nasir Farooq</t>
  </si>
  <si>
    <t>gigster</t>
  </si>
  <si>
    <t>10am – 10:45am</t>
  </si>
  <si>
    <t>Theradex Oncology</t>
  </si>
  <si>
    <t>11am – 11:45am</t>
  </si>
  <si>
    <t>kapitus</t>
  </si>
  <si>
    <t>Node</t>
  </si>
  <si>
    <t>11am – 11:30am</t>
  </si>
  <si>
    <t>3pillarglobal</t>
  </si>
  <si>
    <t>.NET / Angular</t>
  </si>
  <si>
    <t>skipped</t>
  </si>
  <si>
    <t>2pm – 2:15pm</t>
  </si>
  <si>
    <t>NESS Digital Engineering</t>
  </si>
  <si>
    <t>Java Spring Boot</t>
  </si>
  <si>
    <t>failed(Indi VS paki)</t>
  </si>
  <si>
    <t>12:30 – 12:50pm</t>
  </si>
  <si>
    <t>cogitativo</t>
  </si>
  <si>
    <t>Python+(a little Java+C#)</t>
  </si>
  <si>
    <t>11:30am – 12:30pm</t>
  </si>
  <si>
    <t>Brandon Bross</t>
  </si>
  <si>
    <t>1:00pm –  1:30pm</t>
  </si>
  <si>
    <t>Capstone Integration Solutions</t>
  </si>
  <si>
    <t xml:space="preserve">Devin </t>
  </si>
  <si>
    <t>pooya</t>
  </si>
  <si>
    <t>python / react</t>
  </si>
  <si>
    <t>11:00 am -11:30</t>
  </si>
  <si>
    <t xml:space="preserve">John </t>
  </si>
  <si>
    <t>10:30 am -11:00</t>
  </si>
  <si>
    <t>prism</t>
  </si>
  <si>
    <t>amir</t>
  </si>
  <si>
    <t>mern</t>
  </si>
  <si>
    <t>10:30am – 11:30am</t>
  </si>
  <si>
    <t>Babylist</t>
  </si>
  <si>
    <t>Bright</t>
  </si>
  <si>
    <t>android</t>
  </si>
  <si>
    <t>Narrator</t>
  </si>
  <si>
    <t xml:space="preserve"> Python / React</t>
  </si>
  <si>
    <t>1pm - 1:30pm</t>
  </si>
  <si>
    <t>Verint</t>
  </si>
  <si>
    <t>Edward Marchand</t>
  </si>
  <si>
    <t>blackout</t>
  </si>
  <si>
    <t>11:30am –  1:00pm</t>
  </si>
  <si>
    <t xml:space="preserve">ServiceLink </t>
  </si>
  <si>
    <t xml:space="preserve">Taylor </t>
  </si>
  <si>
    <t>zain / shahab</t>
  </si>
  <si>
    <t>reschedule</t>
  </si>
  <si>
    <t>11:00 – 11:45am</t>
  </si>
  <si>
    <t>vertexinc</t>
  </si>
  <si>
    <t>ismaeel</t>
  </si>
  <si>
    <t>tech2</t>
  </si>
  <si>
    <t>11:00 – 11:30am</t>
  </si>
  <si>
    <t>fortrea</t>
  </si>
  <si>
    <t>shahab</t>
  </si>
  <si>
    <t>.NET / React or Angular</t>
  </si>
  <si>
    <t>revenueanalytics</t>
  </si>
  <si>
    <t>python</t>
  </si>
  <si>
    <t>2:00-2:30pm</t>
  </si>
  <si>
    <t>12:00 – 1:00pm</t>
  </si>
  <si>
    <t>1:30 – 2:15pm</t>
  </si>
  <si>
    <t xml:space="preserve">Kapitus </t>
  </si>
  <si>
    <t>sameel</t>
  </si>
  <si>
    <t>2:05 – 2:45pm</t>
  </si>
  <si>
    <t>Microsoft</t>
  </si>
  <si>
    <t>reschedued</t>
  </si>
  <si>
    <t>1:00 – 1:45pm ET</t>
  </si>
  <si>
    <t>10:30 – 11:30am</t>
  </si>
  <si>
    <t>navisite</t>
  </si>
  <si>
    <t>2:00pm –  2:30pm</t>
  </si>
  <si>
    <t>React, Node, Java</t>
  </si>
  <si>
    <t>12pm – 12:20pm</t>
  </si>
  <si>
    <t>Blueprint Technologies</t>
  </si>
  <si>
    <t xml:space="preserve">Frank </t>
  </si>
  <si>
    <t>.NET, React</t>
  </si>
  <si>
    <t>3:05pm – 3:45pm</t>
  </si>
  <si>
    <t>40min</t>
  </si>
  <si>
    <t>12pm – 1pm</t>
  </si>
  <si>
    <t>keyrock</t>
  </si>
  <si>
    <t>NODE/Vue</t>
  </si>
  <si>
    <t>9:45am – 10:00am</t>
  </si>
  <si>
    <t>Multitude Insights</t>
  </si>
  <si>
    <t>React Native, React</t>
  </si>
  <si>
    <t>10am – 10:30am</t>
  </si>
  <si>
    <t>2:30 am - 2:45 am</t>
  </si>
  <si>
    <t>ebay</t>
  </si>
  <si>
    <t>12:30pm – 1pm</t>
  </si>
  <si>
    <t>sunbit</t>
  </si>
  <si>
    <t>rescheduel</t>
  </si>
  <si>
    <t>1:30pm – 2:15pm</t>
  </si>
  <si>
    <t>2:30pm – 2:50pm</t>
  </si>
  <si>
    <t>TrueCar</t>
  </si>
  <si>
    <t xml:space="preserve">Allen </t>
  </si>
  <si>
    <t>lafee</t>
  </si>
  <si>
    <t>10:30am – 11am</t>
  </si>
  <si>
    <t>Coin Metrics</t>
  </si>
  <si>
    <t>Java/Python</t>
  </si>
  <si>
    <t>reschedue</t>
  </si>
  <si>
    <t>Kuali, Inc.</t>
  </si>
  <si>
    <t>shahzad</t>
  </si>
  <si>
    <t>Spring/React</t>
  </si>
  <si>
    <t>2pm – 4pm</t>
  </si>
  <si>
    <t>Constellation</t>
  </si>
  <si>
    <t>120min</t>
  </si>
  <si>
    <t>2pm - 3pm</t>
  </si>
  <si>
    <t>Noble Public Adjusting Group</t>
  </si>
  <si>
    <t xml:space="preserve">Kevin </t>
  </si>
  <si>
    <t>tech1</t>
  </si>
  <si>
    <t xml:space="preserve">2pm </t>
  </si>
  <si>
    <t>2:30pm EST - 3:15pm EST</t>
  </si>
  <si>
    <t>10am – 11am</t>
  </si>
  <si>
    <t>insuraseek</t>
  </si>
  <si>
    <t>richard</t>
  </si>
  <si>
    <t>reschdule</t>
  </si>
  <si>
    <t>1:00 – 2:00pm</t>
  </si>
  <si>
    <t>netimpactstrategies</t>
  </si>
  <si>
    <t>3pm – 4pm</t>
  </si>
  <si>
    <t>Spring / React</t>
  </si>
  <si>
    <t>4:30pm – 5pm</t>
  </si>
  <si>
    <t>3:00pm – 4:00pm</t>
  </si>
  <si>
    <t>Dynamo</t>
  </si>
  <si>
    <t>reschedule because birthday</t>
  </si>
  <si>
    <t>02:30-3 PM EST</t>
  </si>
  <si>
    <t>kelly</t>
  </si>
  <si>
    <t>PJMF</t>
  </si>
  <si>
    <t>12pm – 12:45pm</t>
  </si>
  <si>
    <t>node/react</t>
  </si>
  <si>
    <t>final</t>
  </si>
  <si>
    <t>12pm – 12:15pm</t>
  </si>
  <si>
    <t>.NET / Javascript</t>
  </si>
  <si>
    <t>3:00 – 5:00pm</t>
  </si>
  <si>
    <t>2pm – 3pm</t>
  </si>
  <si>
    <t xml:space="preserve"> 1:30pm – 2pm</t>
  </si>
  <si>
    <t>Navitas Partners LLC</t>
  </si>
  <si>
    <t>soaib</t>
  </si>
  <si>
    <t>node software design</t>
  </si>
  <si>
    <t>1pm – 1:30pm</t>
  </si>
  <si>
    <t>Improving</t>
  </si>
  <si>
    <t>core java</t>
  </si>
  <si>
    <t>node react</t>
  </si>
  <si>
    <t>12:30 – 1:15pm</t>
  </si>
  <si>
    <t>2pm</t>
  </si>
  <si>
    <t>The Jockey Club Technologies</t>
  </si>
  <si>
    <t>syed</t>
  </si>
  <si>
    <t>first</t>
  </si>
  <si>
    <t>10:30am – 11:15am</t>
  </si>
  <si>
    <t>Contentsquare</t>
  </si>
  <si>
    <t>node</t>
  </si>
  <si>
    <t>mongodb</t>
  </si>
  <si>
    <t>11am – 11:20am</t>
  </si>
  <si>
    <t>2:05pm – 2:35pm</t>
  </si>
  <si>
    <t>HIRECLOUT</t>
  </si>
  <si>
    <t>typescript</t>
  </si>
  <si>
    <t>1 - 3:15pm</t>
  </si>
  <si>
    <t>225min</t>
  </si>
  <si>
    <t>Stable Kernel</t>
  </si>
  <si>
    <t>bright</t>
  </si>
  <si>
    <t>reschedule because of equipment</t>
  </si>
  <si>
    <t>2:30pm – 3pm</t>
  </si>
  <si>
    <t>ameer</t>
  </si>
  <si>
    <t xml:space="preserve">Kunai </t>
  </si>
  <si>
    <t xml:space="preserve">Matt </t>
  </si>
  <si>
    <t>C# &amp; java</t>
  </si>
  <si>
    <t>11.30am</t>
  </si>
  <si>
    <t>Business Performance Systems</t>
  </si>
  <si>
    <t>nestjs</t>
  </si>
  <si>
    <t>12:00 – 2:00</t>
  </si>
  <si>
    <t>shoaib</t>
  </si>
  <si>
    <t>IDEXX</t>
  </si>
  <si>
    <t>isameel</t>
  </si>
  <si>
    <t>1:30pm – 1:50pm</t>
  </si>
  <si>
    <t>react node</t>
  </si>
  <si>
    <t>1-1:45pm</t>
  </si>
  <si>
    <t>shahazad</t>
  </si>
  <si>
    <t>2-2:45pm</t>
  </si>
  <si>
    <t>1:30 – 2:00pm</t>
  </si>
  <si>
    <t>candortechnology</t>
  </si>
  <si>
    <t>Jarrett</t>
  </si>
  <si>
    <t>reschedueld</t>
  </si>
  <si>
    <t>Valorem Reply</t>
  </si>
  <si>
    <t>12:00-12:15pm</t>
  </si>
  <si>
    <t>12:00 – 12:15pm</t>
  </si>
  <si>
    <t>Steven</t>
  </si>
  <si>
    <t>java/react</t>
  </si>
  <si>
    <t>12:30pm – 1:30pm</t>
  </si>
  <si>
    <t xml:space="preserve">WorldPay </t>
  </si>
  <si>
    <t xml:space="preserve">MongoDB </t>
  </si>
  <si>
    <t>reschedule because sameel not available and amir don't know security</t>
  </si>
  <si>
    <t>01:00 PM - 02:30 PM</t>
  </si>
  <si>
    <t xml:space="preserve">Epam </t>
  </si>
  <si>
    <t>reschedule because of iran pre</t>
  </si>
  <si>
    <t>11:15am – 12pm</t>
  </si>
  <si>
    <t>node/type</t>
  </si>
  <si>
    <t>Casana</t>
  </si>
  <si>
    <t>11:30am – 1:00</t>
  </si>
  <si>
    <t>12:45pm – 1:30pm</t>
  </si>
  <si>
    <t>Krazy Coupon Lady</t>
  </si>
  <si>
    <t>CMG</t>
  </si>
  <si>
    <t>react</t>
  </si>
  <si>
    <t>Crisis Text Line</t>
  </si>
  <si>
    <t>12:30pm – 12:45pm</t>
  </si>
  <si>
    <t xml:space="preserve">Carrierb </t>
  </si>
  <si>
    <t>9:30am – 10am</t>
  </si>
  <si>
    <t>Venteur</t>
  </si>
  <si>
    <t>1:00 – 1:45pm</t>
  </si>
  <si>
    <t>12:00 pm - 1:00 pm</t>
  </si>
  <si>
    <t>geico</t>
  </si>
  <si>
    <t>1:00 pm - 2:15 pm</t>
  </si>
  <si>
    <t>3:00pm-4:00</t>
  </si>
  <si>
    <t>9:30 am - 10:30 am</t>
  </si>
  <si>
    <t>Hallmarkhcs</t>
  </si>
  <si>
    <t>10:00-1:30</t>
  </si>
  <si>
    <t>Brian</t>
  </si>
  <si>
    <t>Healthmap Solutions</t>
  </si>
  <si>
    <t>DXC</t>
  </si>
  <si>
    <t>ICA360</t>
  </si>
  <si>
    <t>11:00 – 12pm</t>
  </si>
  <si>
    <t>Workday</t>
  </si>
  <si>
    <t>Intro and Tech</t>
  </si>
  <si>
    <t>Carrier</t>
  </si>
  <si>
    <t>Monitaur</t>
  </si>
  <si>
    <t>Fistam</t>
  </si>
  <si>
    <t>HCLtech</t>
  </si>
  <si>
    <t>2:45-3:15</t>
  </si>
  <si>
    <t>Moody</t>
  </si>
  <si>
    <t>MongoDb</t>
  </si>
  <si>
    <t>William's</t>
  </si>
  <si>
    <t>EverTrue</t>
  </si>
  <si>
    <t>PHP+Python+Node</t>
  </si>
  <si>
    <t>ORS</t>
  </si>
  <si>
    <t>Seven-Brian</t>
  </si>
  <si>
    <t>Hrvyst</t>
  </si>
  <si>
    <t>OncoHealth</t>
  </si>
  <si>
    <t>Data</t>
  </si>
  <si>
    <t>Eteam-Okta</t>
  </si>
  <si>
    <t>CCC Intelligent Solutions</t>
  </si>
  <si>
    <t>ask interview 2round until this thursday</t>
  </si>
  <si>
    <t>Oncohealth</t>
  </si>
  <si>
    <t>Python Data</t>
  </si>
  <si>
    <t>Greenbrier</t>
  </si>
  <si>
    <t>Majid</t>
  </si>
  <si>
    <t>Accertify</t>
  </si>
  <si>
    <t xml:space="preserve"> Confirmed</t>
  </si>
  <si>
    <t>Kroger</t>
  </si>
  <si>
    <t>Confirmed</t>
  </si>
  <si>
    <t>MongoDB</t>
  </si>
  <si>
    <t>Sualeh</t>
  </si>
  <si>
    <t>1:30-3:00</t>
  </si>
  <si>
    <t>EPAM</t>
  </si>
  <si>
    <t>VW.com</t>
  </si>
  <si>
    <t>Prompt</t>
  </si>
  <si>
    <t>Embecta</t>
  </si>
  <si>
    <t>Otherbranch</t>
  </si>
  <si>
    <t>Evercommerce</t>
  </si>
  <si>
    <t>Dell</t>
  </si>
  <si>
    <t>Orijin</t>
  </si>
  <si>
    <t>Teamsnap</t>
  </si>
  <si>
    <t>Ameer</t>
  </si>
  <si>
    <t>Android</t>
  </si>
  <si>
    <t>SEAS</t>
  </si>
  <si>
    <t xml:space="preserve"> Five9</t>
  </si>
  <si>
    <t>Zeeshan</t>
  </si>
  <si>
    <t>Bad</t>
  </si>
  <si>
    <t>SSG</t>
  </si>
  <si>
    <t>Cofnirmed</t>
  </si>
  <si>
    <t>3:00-4:20</t>
  </si>
  <si>
    <t>Pearson</t>
  </si>
  <si>
    <t>80min</t>
  </si>
  <si>
    <t>6:30-7:30</t>
  </si>
  <si>
    <t>Mongodb</t>
  </si>
  <si>
    <t>Not Good</t>
  </si>
  <si>
    <t>Dayforce</t>
  </si>
  <si>
    <t>C#</t>
  </si>
  <si>
    <t>1:45-2:05</t>
  </si>
  <si>
    <t>Classboxes</t>
  </si>
  <si>
    <t>UGA.edu</t>
  </si>
  <si>
    <t>Java Fullstack</t>
  </si>
  <si>
    <t>Dexian</t>
  </si>
  <si>
    <t>12:30-12:45</t>
  </si>
  <si>
    <t>Coding Temple</t>
  </si>
  <si>
    <t>Bad two guy joined</t>
  </si>
  <si>
    <t>Date</t>
  </si>
  <si>
    <t>Client</t>
  </si>
  <si>
    <t>Profile</t>
  </si>
  <si>
    <t>Dev</t>
  </si>
  <si>
    <t>Solventum</t>
  </si>
  <si>
    <t>Ali</t>
  </si>
  <si>
    <t xml:space="preserve">SquarePeg </t>
  </si>
  <si>
    <t>Aaron</t>
  </si>
  <si>
    <t>ConfettiRecruting</t>
  </si>
  <si>
    <t>Eccalon</t>
  </si>
  <si>
    <t>Mark -Jared</t>
  </si>
  <si>
    <t>Ali hasnain</t>
  </si>
  <si>
    <t>Upcodes</t>
  </si>
  <si>
    <t>Robert-Samad</t>
  </si>
  <si>
    <t>Muazi</t>
  </si>
  <si>
    <t>Scanifly</t>
  </si>
  <si>
    <t>Jerry-Smile</t>
  </si>
  <si>
    <t>2:30 – 3:00</t>
  </si>
  <si>
    <t>Justin-Jackson</t>
  </si>
  <si>
    <t>Umair</t>
  </si>
  <si>
    <t>pelo.tech</t>
  </si>
  <si>
    <t>Blake-Jackson</t>
  </si>
  <si>
    <t>Arslan/Muazi</t>
  </si>
  <si>
    <t>Databricks</t>
  </si>
  <si>
    <t>Frank jones</t>
  </si>
  <si>
    <t>Country</t>
  </si>
  <si>
    <t>Telegram</t>
  </si>
  <si>
    <t>Skype</t>
  </si>
  <si>
    <t>Whatsapp</t>
  </si>
  <si>
    <t>Email</t>
  </si>
  <si>
    <t>Phone Number</t>
  </si>
  <si>
    <t>LinkedIn</t>
  </si>
  <si>
    <t>English</t>
  </si>
  <si>
    <t>Availabilty</t>
  </si>
  <si>
    <t>Angular</t>
  </si>
  <si>
    <t>AWS</t>
  </si>
  <si>
    <t>Muhammad Moiz</t>
  </si>
  <si>
    <t>PK</t>
  </si>
  <si>
    <t>live:muhammadmoiz65</t>
  </si>
  <si>
    <t>+92 318 0231378</t>
  </si>
  <si>
    <t>Ismaeel Mughal 43</t>
  </si>
  <si>
    <t>live:.cid.c17d06d47dc47ba7</t>
  </si>
  <si>
    <t xml:space="preserve">+92 323 0147169 </t>
  </si>
  <si>
    <t>Muhammad Salman</t>
  </si>
  <si>
    <t>muhammad_salman_farooq</t>
  </si>
  <si>
    <t>923455061795</t>
  </si>
  <si>
    <t>salmani_25@yahoo.com</t>
  </si>
  <si>
    <t>https://www.linkedin.com/in/muhammad-salman-farooq-81913740/</t>
  </si>
  <si>
    <t>Nasir Farooq 42</t>
  </si>
  <si>
    <t>nasirfarooq_gcu@hotmail.com</t>
  </si>
  <si>
    <t>923067373413</t>
  </si>
  <si>
    <t>linkedin.com/in/nasir-farooq-bab5b94b</t>
  </si>
  <si>
    <t>Syed Anas-From-13th</t>
  </si>
  <si>
    <t>syed_anas1</t>
  </si>
  <si>
    <t>923462797753</t>
  </si>
  <si>
    <t>Shahzad Raza 44</t>
  </si>
  <si>
    <t>live:.cid.1b76c66fb04af9f5</t>
  </si>
  <si>
    <t>+92 305 3366616</t>
  </si>
  <si>
    <t>Arham Ranjha</t>
  </si>
  <si>
    <r>
      <rPr>
        <sz val="10.5"/>
        <color theme="1"/>
        <rFont val="Segoe UI"/>
      </rPr>
      <t>@Arhamranjha</t>
    </r>
  </si>
  <si>
    <r>
      <rPr>
        <sz val="10.5"/>
        <color theme="1"/>
        <rFont val="Segoe UI"/>
      </rPr>
      <t>arham.ranjha</t>
    </r>
  </si>
  <si>
    <t>923363636013</t>
  </si>
  <si>
    <t>arhamranjha@gmail.com</t>
  </si>
  <si>
    <t>https://www.linkedin.com/in/muhammad-a-342473102/</t>
  </si>
  <si>
    <t>Faisal Junaid</t>
  </si>
  <si>
    <t>Farrukh Shahzad</t>
  </si>
  <si>
    <t>farrukhshahzad227@gmail.com</t>
  </si>
  <si>
    <t>Junaid Tariq</t>
  </si>
  <si>
    <t>live:.cid.7da1ee324604d94a</t>
  </si>
  <si>
    <t>+92 342 3266669</t>
  </si>
  <si>
    <t>Jawad Tariq</t>
  </si>
  <si>
    <t>live:jawad_bhatti1996</t>
  </si>
  <si>
    <t>Farzal Khan</t>
  </si>
  <si>
    <t>Node+Go</t>
  </si>
  <si>
    <t>+92 333 3195182</t>
  </si>
  <si>
    <t>Asad Ahmad</t>
  </si>
  <si>
    <t>+92 316 4993706</t>
  </si>
  <si>
    <t>Shoaib  Ahmad</t>
  </si>
  <si>
    <t>shoaib9121</t>
  </si>
  <si>
    <t>Amir Sepehri-React+Java+Node</t>
  </si>
  <si>
    <t>Iran</t>
  </si>
  <si>
    <t>https://t.me/Amir_MLTV</t>
  </si>
  <si>
    <t>+98 917 451 5784</t>
  </si>
  <si>
    <t>live:.cid.8c5aceab9622e584</t>
  </si>
  <si>
    <t>+923026651024</t>
  </si>
  <si>
    <t>samee.nuces@gmail.com</t>
  </si>
  <si>
    <t>Zayn</t>
  </si>
  <si>
    <t>Python+Ruby+React+Node</t>
  </si>
  <si>
    <t>+92 311 4888047</t>
  </si>
  <si>
    <t>+92 300 4452158</t>
  </si>
  <si>
    <t>Muhammad Imran</t>
  </si>
  <si>
    <t>Py+Golang</t>
  </si>
  <si>
    <t>+92 336 5994412</t>
  </si>
  <si>
    <t>Ur Faiz</t>
  </si>
  <si>
    <t>Abdul Matten-backend data</t>
  </si>
  <si>
    <t>live:.cid.bbb812394036c244</t>
  </si>
  <si>
    <t>Pooya Poorian-python+node+react</t>
  </si>
  <si>
    <t xml:space="preserve"> +989148989435</t>
  </si>
  <si>
    <t>Hider Ali</t>
  </si>
  <si>
    <t>Q Hunain</t>
  </si>
  <si>
    <t>Muhammad.qasim.hunain</t>
  </si>
  <si>
    <t xml:space="preserve"> +92 336 7463361</t>
  </si>
  <si>
    <t>+92 336 7463361</t>
  </si>
  <si>
    <t>muhammadqasimhunain</t>
  </si>
  <si>
    <t>Okosodo Richard</t>
  </si>
  <si>
    <t>NJ</t>
  </si>
  <si>
    <t>richodia1</t>
  </si>
  <si>
    <t>2348034526743</t>
  </si>
  <si>
    <t>okosodorichard@yahoo.com</t>
  </si>
  <si>
    <t>Kashif Hanif</t>
  </si>
  <si>
    <t>kashif_hanif786</t>
  </si>
  <si>
    <t>00923456896169</t>
  </si>
  <si>
    <t>Shoaib  ISmail 435</t>
  </si>
  <si>
    <t>live:.cid.5b677670e30a1f27</t>
  </si>
  <si>
    <t>+923335435356</t>
  </si>
  <si>
    <t>Zain Zafar 42</t>
  </si>
  <si>
    <t xml:space="preserve"> zainzafar91@outlook.com</t>
  </si>
  <si>
    <t>+923122288288</t>
  </si>
  <si>
    <t xml:space="preserve"> 91zainzafar@gmail.com</t>
  </si>
  <si>
    <t>Shahab Lohdi 45</t>
  </si>
  <si>
    <t>live:shahablodhi52</t>
  </si>
  <si>
    <t>+92 335 0158655</t>
  </si>
  <si>
    <t>Hamza Shakell</t>
  </si>
  <si>
    <t>live:hamzaa8120</t>
  </si>
  <si>
    <t>Haroon Nasir</t>
  </si>
  <si>
    <t>haroonnasir1993</t>
  </si>
  <si>
    <t>+923427737854</t>
  </si>
  <si>
    <t>live:.cid.e071e97e5f1e927e</t>
  </si>
  <si>
    <t>+2349117667419</t>
  </si>
  <si>
    <t>Ameer Hamza</t>
  </si>
  <si>
    <t>live:hhamza1136</t>
  </si>
  <si>
    <t>+923218315927</t>
  </si>
  <si>
    <t xml:space="preserve"> jakebrunn.dev@gmail.com</t>
  </si>
  <si>
    <t>6oU8Js9Ajhky</t>
  </si>
  <si>
    <t>Vitlas-Avisoft</t>
  </si>
  <si>
    <t>+234 904 167 1389</t>
  </si>
  <si>
    <t>Zeeshan Asghar</t>
  </si>
  <si>
    <t>+92 346 5430413</t>
  </si>
  <si>
    <t>Apply</t>
  </si>
  <si>
    <t>Marcus</t>
  </si>
  <si>
    <t>+234 905 677 1683</t>
  </si>
  <si>
    <t>kellycavendar21@gmail.com</t>
  </si>
  <si>
    <t>$kelly219</t>
  </si>
  <si>
    <t>Guilermo-Applier</t>
  </si>
  <si>
    <t>+92 320 9433155</t>
  </si>
  <si>
    <t>Shahbaz-Applier</t>
  </si>
  <si>
    <t>+92 312 6913919</t>
  </si>
  <si>
    <t>Clement-Appleir</t>
  </si>
  <si>
    <t>+92 305 2405250</t>
  </si>
  <si>
    <t>Allen-Applier- Babar</t>
  </si>
  <si>
    <t>+92 300 2474255</t>
  </si>
  <si>
    <t>Frank-Hamza-Applier</t>
  </si>
  <si>
    <t>+92 310 8504080</t>
  </si>
  <si>
    <t>Hamza-Kelly-Applier</t>
  </si>
  <si>
    <t>+92 303 5132033</t>
  </si>
  <si>
    <t>Curtis-Waqar-Applier</t>
  </si>
  <si>
    <t>+92 344 4621827</t>
  </si>
  <si>
    <t>Mohsin-Applier</t>
  </si>
  <si>
    <t>+92 300 9064706</t>
  </si>
  <si>
    <t>Taylor-Applier-Vargrant</t>
  </si>
  <si>
    <t>+92 344 6664710</t>
  </si>
  <si>
    <t>Clients</t>
  </si>
  <si>
    <t>Nicholas Shellabarger</t>
  </si>
  <si>
    <t>US</t>
  </si>
  <si>
    <t>https://t.me/nshellabarger</t>
  </si>
  <si>
    <t>Luis Hernandez</t>
  </si>
  <si>
    <t>live:.cid.633a58dda54fc258</t>
  </si>
  <si>
    <t>PHOTO</t>
  </si>
  <si>
    <t>Alex Kotov</t>
  </si>
  <si>
    <t>https://t.me/Draw_designer</t>
  </si>
  <si>
    <t>Fake ID</t>
  </si>
  <si>
    <t>https://t.me/topfakeid</t>
  </si>
  <si>
    <t>ID card-Jake</t>
  </si>
  <si>
    <t>live:.cid.6e01b46a6bb4b7d9</t>
  </si>
  <si>
    <t>NS-laptop</t>
  </si>
  <si>
    <t>https://t.me/NS_chi</t>
  </si>
  <si>
    <t>My whatsapp</t>
  </si>
  <si>
    <t>+1 (872) 320-9753</t>
  </si>
  <si>
    <t>Laptop</t>
  </si>
  <si>
    <t xml:space="preserve">206-928-3131
</t>
  </si>
  <si>
    <t>Isaias Hernandez</t>
  </si>
  <si>
    <t>+1(206)928-3131</t>
  </si>
  <si>
    <t>450 e 200 n Salem, UT 84653</t>
  </si>
  <si>
    <t>Scott-Utah-Skype-Kentrell</t>
  </si>
  <si>
    <t>6329 N Mobile Ave Chicago Illinois 60646</t>
  </si>
  <si>
    <t>Nikola Savic-Telegram</t>
  </si>
  <si>
    <t>4001 N Bernard st Chicago Illinois 60618</t>
  </si>
  <si>
    <t>555 Glenshire Rd, Glenview, Illinois 60025</t>
  </si>
  <si>
    <t>1906 Ditmars boulevard-basement, 11105 Astoria Newyork</t>
  </si>
  <si>
    <t>821 W King St, Jefferson City, TN 37760</t>
  </si>
  <si>
    <t>Alexander-TN-Telegram</t>
  </si>
  <si>
    <t>50-D Khayaban e Ittehad, Muslim Commercial, DHA Phase 6.</t>
  </si>
  <si>
    <t>Moiz-PK-Skype</t>
  </si>
  <si>
    <t>Postal code : 75500</t>
  </si>
  <si>
    <t>City : Karachi</t>
  </si>
  <si>
    <t xml:space="preserve">State : Sindh </t>
  </si>
  <si>
    <t>Phone Number: +92 318 023 1378</t>
  </si>
  <si>
    <t>Email: muhammadmoiz65@gmail.com</t>
  </si>
  <si>
    <t>520 w 6th st, Cheney WA 99004</t>
  </si>
  <si>
    <t>Jan</t>
  </si>
  <si>
    <t>Feb</t>
  </si>
  <si>
    <t>450$</t>
  </si>
  <si>
    <t>Mar</t>
  </si>
  <si>
    <t>KGC</t>
  </si>
  <si>
    <t>Apr</t>
  </si>
  <si>
    <t>May</t>
  </si>
  <si>
    <t>Jul23</t>
  </si>
  <si>
    <t>June</t>
  </si>
  <si>
    <t>Aug30</t>
  </si>
  <si>
    <t>2161 pendiing</t>
  </si>
  <si>
    <t>July</t>
  </si>
  <si>
    <t>Sep30</t>
  </si>
  <si>
    <t>August</t>
  </si>
  <si>
    <t>September</t>
  </si>
  <si>
    <t>October</t>
  </si>
  <si>
    <t>November</t>
  </si>
  <si>
    <t>December</t>
  </si>
  <si>
    <t>Total</t>
  </si>
  <si>
    <t>Pending</t>
  </si>
  <si>
    <t>Current</t>
  </si>
  <si>
    <t>Max Expectation</t>
  </si>
  <si>
    <t>Amount</t>
  </si>
  <si>
    <t>W3global</t>
  </si>
  <si>
    <t>Corro</t>
  </si>
  <si>
    <t>Asurint</t>
  </si>
  <si>
    <t>Ebiquity upfront</t>
  </si>
  <si>
    <t>Fortitude</t>
  </si>
  <si>
    <t>Experis</t>
  </si>
  <si>
    <t>Extreme</t>
  </si>
  <si>
    <t>B</t>
  </si>
  <si>
    <t>Buzz</t>
  </si>
  <si>
    <t>RUJ</t>
  </si>
  <si>
    <t>drug test</t>
  </si>
  <si>
    <t>GPT</t>
  </si>
  <si>
    <t>MPhasis</t>
  </si>
  <si>
    <t>Interview support</t>
  </si>
  <si>
    <t>DL</t>
  </si>
  <si>
    <t>Final Score</t>
  </si>
  <si>
    <t>Horizontal-Cobank</t>
  </si>
  <si>
    <t>Incedo</t>
  </si>
  <si>
    <t>Outsource</t>
  </si>
  <si>
    <t>RHJ</t>
  </si>
  <si>
    <t>Credit</t>
  </si>
  <si>
    <t>ADP</t>
  </si>
  <si>
    <t>CoBank</t>
  </si>
  <si>
    <t>linkedin</t>
  </si>
  <si>
    <t>resume</t>
  </si>
  <si>
    <t>Birla pending</t>
  </si>
  <si>
    <t>paycheck</t>
  </si>
  <si>
    <t>Resume</t>
  </si>
  <si>
    <t>Lucid Chart</t>
  </si>
  <si>
    <t>PKH</t>
  </si>
  <si>
    <t>322 for last month</t>
  </si>
  <si>
    <t>Jong Se Ryong</t>
  </si>
  <si>
    <t>Ryu U Ju</t>
  </si>
  <si>
    <t>Ri Yu Song</t>
  </si>
  <si>
    <t>Kim Jong U</t>
  </si>
  <si>
    <t>Ri Yong Ju</t>
  </si>
  <si>
    <t>Ri Chung Il</t>
  </si>
  <si>
    <t>Kim Hyon Il</t>
  </si>
  <si>
    <t>Kim Guk Bom</t>
  </si>
  <si>
    <t>Kang Guk Ho</t>
  </si>
  <si>
    <t>Han Won Myong</t>
  </si>
  <si>
    <t>Kim Gum Ryong</t>
  </si>
  <si>
    <t>Mun Myong Hyok</t>
  </si>
  <si>
    <t>Jong Gwon Hyok</t>
  </si>
  <si>
    <t xml:space="preserve"> -   </t>
  </si>
  <si>
    <t>Kim Chong Yol</t>
  </si>
  <si>
    <t>Kim Song Ryong</t>
  </si>
  <si>
    <t>Kim Guk Song</t>
  </si>
  <si>
    <t>Kim Ju Song</t>
  </si>
  <si>
    <t>Jong Kang Min</t>
  </si>
  <si>
    <t>Kim Ji Yong</t>
  </si>
  <si>
    <t>Kim Guk Chong</t>
  </si>
  <si>
    <t>Job</t>
  </si>
  <si>
    <t>total</t>
  </si>
  <si>
    <t>Cambium</t>
  </si>
  <si>
    <t>current</t>
  </si>
  <si>
    <t>Mindtree</t>
  </si>
  <si>
    <t>Matrix</t>
  </si>
  <si>
    <t>Volt</t>
  </si>
  <si>
    <t>Ask</t>
  </si>
  <si>
    <t>Bruno</t>
  </si>
  <si>
    <t>Paper</t>
  </si>
  <si>
    <t>Birla</t>
  </si>
  <si>
    <t>pending</t>
  </si>
  <si>
    <t>2500 to Jeff</t>
  </si>
  <si>
    <t>Max Expect</t>
  </si>
  <si>
    <t>ASK</t>
  </si>
  <si>
    <t>laptop</t>
  </si>
  <si>
    <t>skype Credit</t>
  </si>
  <si>
    <t>skype credit</t>
  </si>
  <si>
    <t>Richard-Network</t>
  </si>
  <si>
    <t>Adobe</t>
  </si>
  <si>
    <t>Card Machine</t>
  </si>
  <si>
    <t>Wise Account</t>
  </si>
  <si>
    <t>Supplement</t>
  </si>
  <si>
    <t>Davita laptop</t>
  </si>
  <si>
    <t>VPN</t>
  </si>
  <si>
    <t>+500 for next time</t>
  </si>
  <si>
    <t>Nnikola laptop</t>
  </si>
  <si>
    <t>Davita</t>
  </si>
  <si>
    <t>United</t>
  </si>
  <si>
    <t>Cobank</t>
  </si>
  <si>
    <t>Cobank-laptop</t>
  </si>
  <si>
    <t>Richard-Support</t>
  </si>
  <si>
    <t>profile Name</t>
  </si>
  <si>
    <t>Fahab-Not assigned</t>
  </si>
  <si>
    <t>Amir-Not assigned</t>
  </si>
  <si>
    <t>Clement</t>
  </si>
  <si>
    <t>Done but need update</t>
  </si>
  <si>
    <t>100$</t>
  </si>
  <si>
    <t>234$</t>
  </si>
  <si>
    <t>1159$</t>
  </si>
  <si>
    <t>Availability</t>
  </si>
  <si>
    <t>Interest</t>
  </si>
  <si>
    <t>Cloud</t>
  </si>
  <si>
    <t>Kafka/Rabbit</t>
  </si>
  <si>
    <t>Kubernets</t>
  </si>
  <si>
    <t>Microservices</t>
  </si>
  <si>
    <t>Hamza Zareen</t>
  </si>
  <si>
    <t>Java( only backend)</t>
  </si>
  <si>
    <t>NO</t>
  </si>
  <si>
    <t>GCP+AWS+Azure</t>
  </si>
  <si>
    <t>Rashid Hussain</t>
  </si>
  <si>
    <t>.Net+Angular+React</t>
  </si>
  <si>
    <t>923145360520</t>
  </si>
  <si>
    <t>Yes</t>
  </si>
  <si>
    <t>Ishfqg</t>
  </si>
  <si>
    <t>+92 303 5711986</t>
  </si>
  <si>
    <t>No</t>
  </si>
  <si>
    <t>923345174583</t>
  </si>
  <si>
    <t>Syed Hasan Shehryar</t>
  </si>
  <si>
    <t>React+Native+Node</t>
  </si>
  <si>
    <t>Sualeh Farooq</t>
  </si>
  <si>
    <t>React+Node+Vue</t>
  </si>
  <si>
    <t>+44 7466 222870</t>
  </si>
  <si>
    <t>923212708233</t>
  </si>
  <si>
    <t>Awais Kamran</t>
  </si>
  <si>
    <t>React+Node+Python</t>
  </si>
  <si>
    <t>Sharjeel</t>
  </si>
  <si>
    <t>.Net+React+Angular</t>
  </si>
  <si>
    <t>923365068415</t>
  </si>
  <si>
    <t>Sharjeel2431</t>
  </si>
  <si>
    <t>Talha Javaid</t>
  </si>
  <si>
    <t>talhajavaidmalik089@gmail.com</t>
  </si>
  <si>
    <t>+92 3117392262</t>
  </si>
  <si>
    <t>Inam Ullah</t>
  </si>
  <si>
    <t>.Net+Angular+Cloud</t>
  </si>
  <si>
    <t>923244562432</t>
  </si>
  <si>
    <t>Tanveer Ahmad</t>
  </si>
  <si>
    <t>Java(pure backend)</t>
  </si>
  <si>
    <t>+92-303-5134 391</t>
  </si>
  <si>
    <t>tanveer_lodhi_1</t>
  </si>
  <si>
    <t>no</t>
  </si>
  <si>
    <t>kafka</t>
  </si>
  <si>
    <t>Zuhair Waheed</t>
  </si>
  <si>
    <t>Java(backend)</t>
  </si>
  <si>
    <t>+92 315 2103919</t>
  </si>
  <si>
    <t>AWS+</t>
  </si>
  <si>
    <t>Faheem Sultan</t>
  </si>
  <si>
    <t>923132003569</t>
  </si>
  <si>
    <t>Muhammad Faiq</t>
  </si>
  <si>
    <t>+92 334 4311822</t>
  </si>
  <si>
    <t>Asad javaed</t>
  </si>
  <si>
    <t>+92 340 5349496</t>
  </si>
  <si>
    <t>node+Golang+React</t>
  </si>
  <si>
    <t>Shahidi HUSSAIN</t>
  </si>
  <si>
    <t>MERN+.Net</t>
  </si>
  <si>
    <t>Rao Waqas Akram</t>
  </si>
  <si>
    <t>Java+.Net+DevOps</t>
  </si>
  <si>
    <t>+92 303 7441193</t>
  </si>
  <si>
    <t>Muhammad Munib</t>
  </si>
  <si>
    <t>Faiq Malik</t>
  </si>
  <si>
    <t>Shahroze Malik</t>
  </si>
  <si>
    <t>+92 331 8556921</t>
  </si>
  <si>
    <t>Rizwan Ahmed</t>
  </si>
  <si>
    <t>Arsalan Shahid</t>
  </si>
  <si>
    <t>Java+React+Angular</t>
  </si>
  <si>
    <t>Zayn Dev</t>
  </si>
  <si>
    <t>Ruby+React+Python</t>
  </si>
  <si>
    <t>Luqman Miraj</t>
  </si>
  <si>
    <t>React+Node +Aws</t>
  </si>
  <si>
    <t>Javascript</t>
  </si>
  <si>
    <t>Mazhar Habib</t>
  </si>
  <si>
    <t>Java(only)</t>
  </si>
  <si>
    <t>923126662313</t>
  </si>
  <si>
    <t>Fahad Naeem</t>
  </si>
  <si>
    <t>Node+Python+React</t>
  </si>
  <si>
    <t>923224278138</t>
  </si>
  <si>
    <t>Muaz Iqbal</t>
  </si>
  <si>
    <t>Mian hayat</t>
  </si>
  <si>
    <t>.net+Java+all cloud</t>
  </si>
  <si>
    <t>923314112955</t>
  </si>
  <si>
    <t>poor</t>
  </si>
  <si>
    <t>Mehmoodul Haq</t>
  </si>
  <si>
    <t>Node+React+Angular+Python</t>
  </si>
  <si>
    <t>905527989067</t>
  </si>
  <si>
    <t> Mazhar Habib</t>
  </si>
  <si>
    <t>Muhammad Imran Zahoor</t>
  </si>
  <si>
    <t>Python+Golang</t>
  </si>
  <si>
    <t>Babar Ali</t>
  </si>
  <si>
    <t>923433039132</t>
  </si>
  <si>
    <t>Kashif Ahmed</t>
  </si>
  <si>
    <t>React+python</t>
  </si>
  <si>
    <t>Sharoz Ali</t>
  </si>
  <si>
    <t>React+Node+Cloud</t>
  </si>
  <si>
    <t>+92 336-6809708</t>
  </si>
  <si>
    <t>Muhammad Shoaib</t>
  </si>
  <si>
    <t>R+A+N+Laravel+Blockchain</t>
  </si>
  <si>
    <t>923008858323</t>
  </si>
  <si>
    <t>Farooq Abdullah</t>
  </si>
  <si>
    <t>Express+Python+ Angular+React</t>
  </si>
  <si>
    <t>923046397197</t>
  </si>
  <si>
    <t>System Architect</t>
  </si>
  <si>
    <t>Suleman Ismail</t>
  </si>
  <si>
    <t>Mean+React</t>
  </si>
  <si>
    <t>Poor</t>
  </si>
  <si>
    <t>Fayyaz Ali Khan</t>
  </si>
  <si>
    <t>923443012240</t>
  </si>
  <si>
    <t>Faizan Mustafa</t>
  </si>
  <si>
    <t>React+Native+Python</t>
  </si>
  <si>
    <t>923367725524</t>
  </si>
  <si>
    <t>No Cloud</t>
  </si>
  <si>
    <t>Aizaz Memon</t>
  </si>
  <si>
    <t>923322400409</t>
  </si>
  <si>
    <t>7years</t>
  </si>
  <si>
    <t>Shahzeb</t>
  </si>
  <si>
    <t>Java+Angular+python</t>
  </si>
  <si>
    <t>923227128228</t>
  </si>
  <si>
    <t>live:.cid.37b08d30d4ff0dc4</t>
  </si>
  <si>
    <t>Shaheryar Khan</t>
  </si>
  <si>
    <t>Amir Sepehri</t>
  </si>
  <si>
    <t>React+Node+Angular</t>
  </si>
  <si>
    <t>Saad</t>
  </si>
  <si>
    <t>Yasir Mehmood</t>
  </si>
  <si>
    <t>Sohaib yasir</t>
  </si>
  <si>
    <t>Kaleem Ullah</t>
  </si>
  <si>
    <t>Haifz Atif</t>
  </si>
  <si>
    <t>Ishaq Bhojani</t>
  </si>
  <si>
    <t>Mern</t>
  </si>
  <si>
    <t>Bangular</t>
  </si>
  <si>
    <t>Zahidur</t>
  </si>
  <si>
    <t>Sajawal Ayaz</t>
  </si>
  <si>
    <t>Mostafa Hosseinzadeh</t>
  </si>
  <si>
    <t>Qazi Wajih</t>
  </si>
  <si>
    <t>Hassan Ali</t>
  </si>
  <si>
    <t>Mahdi</t>
  </si>
  <si>
    <t>India</t>
  </si>
  <si>
    <t>Amit Signgh</t>
  </si>
  <si>
    <t>Ali Barati</t>
  </si>
  <si>
    <t>.Net Lead</t>
  </si>
  <si>
    <t>Azure</t>
  </si>
  <si>
    <t>Nuaman Jamil</t>
  </si>
  <si>
    <t>Azure only</t>
  </si>
  <si>
    <t>https://www.linkedin.com/in/nuaman-jamil-867184100/</t>
  </si>
  <si>
    <t>Azeem Sharif</t>
  </si>
  <si>
    <t>https://www.linkedin.com/in/azeem-sharif/</t>
  </si>
  <si>
    <t>Shahidi lqbal</t>
  </si>
  <si>
    <t>Jawad yousaf</t>
  </si>
  <si>
    <t>Muhammad Rehan</t>
  </si>
  <si>
    <t>Qasim Hunain</t>
  </si>
  <si>
    <t>Adam Shakoor</t>
  </si>
  <si>
    <t>Salman</t>
  </si>
  <si>
    <t>Farid</t>
  </si>
  <si>
    <r>
      <rPr>
        <b/>
        <sz val="11"/>
        <color rgb="FF000000"/>
        <rFont val="Calibri"/>
        <charset val="134"/>
      </rPr>
      <t>MAIL</t>
    </r>
  </si>
  <si>
    <r>
      <rPr>
        <b/>
        <sz val="11"/>
        <color rgb="FF000000"/>
        <rFont val="Calibri"/>
        <charset val="134"/>
      </rPr>
      <t>PASS MAIL</t>
    </r>
  </si>
  <si>
    <r>
      <rPr>
        <b/>
        <sz val="11"/>
        <color rgb="FF000000"/>
        <rFont val="Calibri"/>
        <charset val="134"/>
      </rPr>
      <t>ID PASS</t>
    </r>
  </si>
  <si>
    <r>
      <rPr>
        <b/>
        <sz val="11"/>
        <color rgb="FF000000"/>
        <rFont val="Calibri"/>
        <charset val="134"/>
      </rPr>
      <t>2FA</t>
    </r>
  </si>
  <si>
    <r>
      <rPr>
        <b/>
        <sz val="11"/>
        <color rgb="FF000000"/>
        <rFont val="Calibri"/>
        <charset val="134"/>
      </rPr>
      <t>ID LINK</t>
    </r>
  </si>
  <si>
    <r>
      <rPr>
        <b/>
        <sz val="11"/>
        <color rgb="FF000000"/>
        <rFont val="Calibri"/>
        <charset val="134"/>
      </rPr>
      <t>CONNECTION</t>
    </r>
  </si>
  <si>
    <t>elianaqax682@hotmail.com</t>
  </si>
  <si>
    <t>Acampbellcsd587</t>
  </si>
  <si>
    <t>Daibang0508@</t>
  </si>
  <si>
    <t>https://api.68sms.com/api/sms/get?key=3266f02bc09eb46d0bc5dec07cd59b9f</t>
  </si>
  <si>
    <r>
      <rPr>
        <u/>
        <sz val="11"/>
        <color rgb="FF0563C1"/>
        <rFont val="Calibri"/>
        <charset val="134"/>
      </rPr>
      <t>www.linkedin.com/in/sergio-duque-uribe-36b7491</t>
    </r>
  </si>
  <si>
    <r>
      <rPr>
        <sz val="11"/>
        <rFont val="Calibri"/>
        <charset val="134"/>
      </rPr>
      <t>Colombia</t>
    </r>
  </si>
  <si>
    <t>Metaztaz13$$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</si>
</sst>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8">
    <font>
      <sz val="11"/>
      <color theme="1"/>
      <name val="Calibri"/>
      <scheme val="minor"/>
    </font>
    <font>
      <b/>
      <sz val="11"/>
      <color rgb="FF000000"/>
      <name val="Calibri"/>
      <charset val="134"/>
    </font>
    <font>
      <sz val="11"/>
      <name val="Arial"/>
      <charset val="134"/>
    </font>
    <font>
      <u/>
      <sz val="11"/>
      <color rgb="FF0000FF"/>
      <name val="Calibri"/>
      <scheme val="minor"/>
    </font>
    <font>
      <sz val="11"/>
      <name val="Calibri"/>
      <charset val="134"/>
    </font>
    <font>
      <u/>
      <sz val="11"/>
      <color rgb="FF0563C1"/>
      <name val="Calibri"/>
      <charset val="134"/>
    </font>
    <font>
      <sz val="9.75"/>
      <color rgb="FF202124"/>
      <name val="Arial"/>
    </font>
    <font>
      <u/>
      <sz val="11"/>
      <color theme="10"/>
      <name val="Calibri"/>
      <scheme val="minor"/>
    </font>
    <font>
      <sz val="9"/>
      <color theme="1"/>
      <name val="Arial"/>
    </font>
    <font>
      <sz val="10.5"/>
      <color rgb="FF3C4043"/>
      <name val="Helvetica"/>
    </font>
    <font>
      <sz val="12"/>
      <color rgb="FF1A1A1A"/>
      <name val="Helvetica"/>
    </font>
    <font>
      <sz val="10"/>
      <color rgb="FF1F1F1F"/>
      <name val="Helvetica"/>
    </font>
    <font>
      <sz val="10.5"/>
      <color rgb="FF3C4043"/>
      <name val="Arial"/>
    </font>
    <font>
      <sz val="11"/>
      <color rgb="FF156082"/>
      <name val="Arial"/>
    </font>
    <font>
      <b/>
      <sz val="11"/>
      <color rgb="FFFF0000"/>
      <name val="Calibri"/>
      <scheme val="minor"/>
    </font>
    <font>
      <sz val="12"/>
      <color theme="1"/>
      <name val="Helvetica"/>
    </font>
    <font>
      <sz val="10.5"/>
      <color theme="1"/>
      <name val="Segoe UI"/>
    </font>
    <font>
      <sz val="12"/>
      <color theme="1"/>
      <name val="Segoe UI"/>
    </font>
    <font>
      <sz val="11"/>
      <name val="Calibri"/>
      <scheme val="minor"/>
    </font>
    <font>
      <sz val="10.5"/>
      <color rgb="FF5E5E5E"/>
      <name val="Helvetica"/>
    </font>
    <font>
      <b/>
      <sz val="14.05"/>
      <color rgb="FF5E5E5E"/>
      <name val="Helvetica"/>
    </font>
    <font>
      <sz val="12"/>
      <color rgb="FF000000"/>
      <name val="Helvetica"/>
    </font>
    <font>
      <sz val="10.5"/>
      <color rgb="FF172B4D"/>
      <name val="Segoe UI"/>
    </font>
    <font>
      <sz val="11"/>
      <color rgb="FF5E5E5E"/>
      <name val="Helvetica"/>
    </font>
    <font>
      <sz val="11"/>
      <color theme="1"/>
      <name val="Helvetica"/>
    </font>
    <font>
      <sz val="12"/>
      <color rgb="FF000000"/>
      <name val="Calibri"/>
    </font>
    <font>
      <sz val="11"/>
      <color rgb="FF9C0006"/>
      <name val="Calibri"/>
      <scheme val="minor"/>
    </font>
    <font>
      <sz val="11"/>
      <color rgb="FF9C57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/>
  </cellStyleXfs>
  <cellXfs count="99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/>
    <xf numFmtId="0" fontId="2" fillId="0" borderId="0" xfId="0" applyFont="1" applyAlignment="1">
      <alignment vertical="center"/>
    </xf>
    <xf numFmtId="0" fontId="3" fillId="0" borderId="0" xfId="1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14" fontId="0" fillId="0" borderId="0" xfId="0" applyNumberFormat="1"/>
    <xf numFmtId="0" fontId="0" fillId="3" borderId="0" xfId="0" applyFill="1"/>
    <xf numFmtId="49" fontId="0" fillId="0" borderId="0" xfId="0" applyNumberFormat="1"/>
    <xf numFmtId="0" fontId="6" fillId="0" borderId="0" xfId="0" applyFont="1"/>
    <xf numFmtId="0" fontId="7" fillId="0" borderId="0" xfId="1"/>
    <xf numFmtId="0" fontId="8" fillId="0" borderId="0" xfId="0" applyFont="1" applyAlignment="1">
      <alignment horizontal="center"/>
    </xf>
    <xf numFmtId="49" fontId="6" fillId="0" borderId="0" xfId="0" applyNumberFormat="1" applyFont="1"/>
    <xf numFmtId="49" fontId="0" fillId="3" borderId="0" xfId="0" applyNumberFormat="1" applyFill="1"/>
    <xf numFmtId="0" fontId="9" fillId="0" borderId="0" xfId="0" applyFont="1"/>
    <xf numFmtId="0" fontId="11" fillId="0" borderId="0" xfId="0" applyFont="1"/>
    <xf numFmtId="0" fontId="12" fillId="0" borderId="0" xfId="0" applyFont="1"/>
    <xf numFmtId="164" fontId="0" fillId="0" borderId="0" xfId="0" applyNumberFormat="1"/>
    <xf numFmtId="2" fontId="0" fillId="0" borderId="0" xfId="0" applyNumberFormat="1"/>
    <xf numFmtId="4" fontId="0" fillId="0" borderId="0" xfId="0" applyNumberFormat="1"/>
    <xf numFmtId="16" fontId="0" fillId="0" borderId="0" xfId="0" applyNumberForma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49" fontId="0" fillId="4" borderId="0" xfId="0" applyNumberFormat="1" applyFill="1"/>
    <xf numFmtId="49" fontId="0" fillId="5" borderId="0" xfId="0" applyNumberFormat="1" applyFill="1"/>
    <xf numFmtId="0" fontId="16" fillId="0" borderId="0" xfId="0" applyFont="1"/>
    <xf numFmtId="49" fontId="16" fillId="0" borderId="0" xfId="0" applyNumberFormat="1" applyFont="1"/>
    <xf numFmtId="0" fontId="16" fillId="5" borderId="0" xfId="0" applyFont="1" applyFill="1"/>
    <xf numFmtId="0" fontId="17" fillId="0" borderId="0" xfId="0" applyFont="1" applyAlignment="1">
      <alignment horizontal="left" indent="1"/>
    </xf>
    <xf numFmtId="0" fontId="6" fillId="6" borderId="0" xfId="0" applyFont="1" applyFill="1"/>
    <xf numFmtId="49" fontId="0" fillId="6" borderId="0" xfId="0" applyNumberFormat="1" applyFill="1"/>
    <xf numFmtId="0" fontId="7" fillId="5" borderId="0" xfId="1" applyFill="1"/>
    <xf numFmtId="0" fontId="0" fillId="0" borderId="0" xfId="0" applyAlignment="1">
      <alignment wrapText="1"/>
    </xf>
    <xf numFmtId="0" fontId="0" fillId="7" borderId="0" xfId="0" applyFill="1"/>
    <xf numFmtId="0" fontId="18" fillId="7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18" fillId="0" borderId="0" xfId="0" applyFont="1"/>
    <xf numFmtId="16" fontId="0" fillId="7" borderId="0" xfId="0" applyNumberFormat="1" applyFill="1"/>
    <xf numFmtId="16" fontId="0" fillId="3" borderId="0" xfId="0" applyNumberFormat="1" applyFill="1"/>
    <xf numFmtId="16" fontId="18" fillId="7" borderId="0" xfId="0" applyNumberFormat="1" applyFont="1" applyFill="1"/>
    <xf numFmtId="21" fontId="0" fillId="3" borderId="0" xfId="0" applyNumberFormat="1" applyFill="1"/>
    <xf numFmtId="21" fontId="0" fillId="0" borderId="0" xfId="0" applyNumberFormat="1"/>
    <xf numFmtId="0" fontId="19" fillId="0" borderId="0" xfId="0" applyFont="1"/>
    <xf numFmtId="16" fontId="0" fillId="8" borderId="0" xfId="0" applyNumberFormat="1" applyFill="1"/>
    <xf numFmtId="0" fontId="20" fillId="0" borderId="0" xfId="0" applyFont="1" applyAlignment="1">
      <alignment horizontal="left" vertical="top"/>
    </xf>
    <xf numFmtId="20" fontId="0" fillId="0" borderId="0" xfId="0" applyNumberFormat="1"/>
    <xf numFmtId="16" fontId="0" fillId="9" borderId="0" xfId="0" applyNumberFormat="1" applyFill="1"/>
    <xf numFmtId="0" fontId="12" fillId="3" borderId="0" xfId="0" applyFont="1" applyFill="1"/>
    <xf numFmtId="18" fontId="0" fillId="0" borderId="0" xfId="0" applyNumberFormat="1"/>
    <xf numFmtId="0" fontId="21" fillId="0" borderId="0" xfId="0" applyFont="1"/>
    <xf numFmtId="16" fontId="0" fillId="10" borderId="0" xfId="0" applyNumberFormat="1" applyFill="1"/>
    <xf numFmtId="0" fontId="22" fillId="0" borderId="0" xfId="0" applyFont="1"/>
    <xf numFmtId="16" fontId="0" fillId="11" borderId="0" xfId="0" applyNumberFormat="1" applyFill="1"/>
    <xf numFmtId="16" fontId="18" fillId="0" borderId="0" xfId="0" applyNumberFormat="1" applyFont="1"/>
    <xf numFmtId="0" fontId="23" fillId="0" borderId="0" xfId="0" applyFont="1" applyAlignment="1">
      <alignment horizontal="left" vertical="top"/>
    </xf>
    <xf numFmtId="0" fontId="24" fillId="0" borderId="0" xfId="0" applyFont="1" applyAlignment="1">
      <alignment horizontal="left" vertical="top"/>
    </xf>
    <xf numFmtId="0" fontId="0" fillId="12" borderId="0" xfId="0" applyFill="1"/>
    <xf numFmtId="164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164" fontId="0" fillId="7" borderId="0" xfId="0" applyNumberFormat="1" applyFill="1"/>
    <xf numFmtId="164" fontId="0" fillId="7" borderId="0" xfId="0" applyNumberFormat="1" applyFill="1" applyProtection="1">
      <protection locked="0"/>
    </xf>
    <xf numFmtId="14" fontId="0" fillId="7" borderId="0" xfId="0" applyNumberFormat="1" applyFill="1"/>
    <xf numFmtId="164" fontId="0" fillId="11" borderId="0" xfId="0" applyNumberFormat="1" applyFill="1"/>
    <xf numFmtId="0" fontId="25" fillId="11" borderId="0" xfId="0" applyFont="1" applyFill="1"/>
    <xf numFmtId="14" fontId="0" fillId="11" borderId="0" xfId="0" applyNumberFormat="1" applyFill="1"/>
    <xf numFmtId="164" fontId="0" fillId="6" borderId="0" xfId="0" applyNumberFormat="1" applyFill="1"/>
    <xf numFmtId="0" fontId="25" fillId="6" borderId="0" xfId="0" applyFont="1" applyFill="1"/>
    <xf numFmtId="164" fontId="0" fillId="6" borderId="0" xfId="0" applyNumberFormat="1" applyFill="1" applyProtection="1">
      <protection locked="0"/>
    </xf>
    <xf numFmtId="164" fontId="0" fillId="12" borderId="0" xfId="0" applyNumberFormat="1" applyFill="1"/>
    <xf numFmtId="164" fontId="0" fillId="12" borderId="0" xfId="0" applyNumberFormat="1" applyFill="1" applyProtection="1">
      <protection locked="0"/>
    </xf>
    <xf numFmtId="164" fontId="0" fillId="3" borderId="0" xfId="0" applyNumberFormat="1" applyFill="1"/>
    <xf numFmtId="164" fontId="0" fillId="3" borderId="0" xfId="0" applyNumberFormat="1" applyFill="1" applyProtection="1">
      <protection locked="0"/>
    </xf>
    <xf numFmtId="14" fontId="0" fillId="3" borderId="0" xfId="0" applyNumberFormat="1" applyFill="1"/>
    <xf numFmtId="164" fontId="0" fillId="8" borderId="0" xfId="0" applyNumberFormat="1" applyFill="1"/>
    <xf numFmtId="164" fontId="0" fillId="8" borderId="0" xfId="0" applyNumberFormat="1" applyFill="1" applyProtection="1">
      <protection locked="0"/>
    </xf>
    <xf numFmtId="14" fontId="0" fillId="8" borderId="0" xfId="0" applyNumberFormat="1" applyFill="1"/>
    <xf numFmtId="16" fontId="0" fillId="12" borderId="0" xfId="0" applyNumberFormat="1" applyFill="1"/>
    <xf numFmtId="0" fontId="16" fillId="5" borderId="0" xfId="0" quotePrefix="1" applyFont="1" applyFill="1"/>
    <xf numFmtId="0" fontId="17" fillId="0" borderId="0" xfId="0" quotePrefix="1" applyFont="1" applyAlignment="1">
      <alignment horizontal="left" indent="1"/>
    </xf>
    <xf numFmtId="0" fontId="6" fillId="0" borderId="0" xfId="0" quotePrefix="1" applyFont="1"/>
    <xf numFmtId="0" fontId="0" fillId="0" borderId="0" xfId="0" quotePrefix="1"/>
    <xf numFmtId="0" fontId="8" fillId="0" borderId="0" xfId="0" quotePrefix="1" applyFont="1" applyAlignment="1">
      <alignment horizontal="left"/>
    </xf>
    <xf numFmtId="0" fontId="9" fillId="0" borderId="0" xfId="0" quotePrefix="1" applyFont="1"/>
    <xf numFmtId="0" fontId="10" fillId="0" borderId="0" xfId="0" quotePrefix="1" applyFont="1"/>
    <xf numFmtId="0" fontId="12" fillId="0" borderId="0" xfId="0" quotePrefix="1" applyFont="1"/>
    <xf numFmtId="0" fontId="26" fillId="13" borderId="0" xfId="2" applyAlignment="1"/>
    <xf numFmtId="49" fontId="26" fillId="13" borderId="0" xfId="2" applyNumberFormat="1" applyAlignment="1"/>
    <xf numFmtId="0" fontId="27" fillId="14" borderId="0" xfId="3"/>
    <xf numFmtId="49" fontId="27" fillId="14" borderId="0" xfId="3" applyNumberFormat="1"/>
    <xf numFmtId="0" fontId="27" fillId="14" borderId="0" xfId="3" quotePrefix="1"/>
  </cellXfs>
  <cellStyles count="4">
    <cellStyle name="Bad" xfId="2" builtinId="27"/>
    <cellStyle name="Hyperlink" xfId="1" builtinId="8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www.wps.cn/officeDocument/2023/relationships/customStorage" Target="customStorage/customStorage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rhamranjha@gmail.com" TargetMode="External"/><Relationship Id="rId3" Type="http://schemas.openxmlformats.org/officeDocument/2006/relationships/hyperlink" Target="mailto:nasirfarooq_gcu@hotmail.com" TargetMode="External"/><Relationship Id="rId7" Type="http://schemas.openxmlformats.org/officeDocument/2006/relationships/hyperlink" Target="mailto:farrukhshahzad227@gmail.com" TargetMode="External"/><Relationship Id="rId2" Type="http://schemas.openxmlformats.org/officeDocument/2006/relationships/hyperlink" Target="https://www.linkedin.com/in/nasir-farooq-bab5b94b" TargetMode="External"/><Relationship Id="rId1" Type="http://schemas.openxmlformats.org/officeDocument/2006/relationships/hyperlink" Target="mailto:nasirfarooq_gcu@hotmail.com" TargetMode="External"/><Relationship Id="rId6" Type="http://schemas.openxmlformats.org/officeDocument/2006/relationships/hyperlink" Target="mailto:farrukhshahzad227@gmail.com" TargetMode="External"/><Relationship Id="rId5" Type="http://schemas.openxmlformats.org/officeDocument/2006/relationships/hyperlink" Target="mailto:salmani_25@yahoo.com" TargetMode="External"/><Relationship Id="rId4" Type="http://schemas.openxmlformats.org/officeDocument/2006/relationships/hyperlink" Target="https://www.linkedin.com/in/muhammad-salman-farooq-81913740/" TargetMode="External"/><Relationship Id="rId9" Type="http://schemas.openxmlformats.org/officeDocument/2006/relationships/hyperlink" Target="mailto:samee.nuces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talhajavaidmalik089@gmail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elianaqax682@hotmail.com" TargetMode="External"/><Relationship Id="rId2" Type="http://schemas.openxmlformats.org/officeDocument/2006/relationships/hyperlink" Target="http://www.linkedin.com/in/sergio-duque-uribe-36b7491" TargetMode="External"/><Relationship Id="rId1" Type="http://schemas.openxmlformats.org/officeDocument/2006/relationships/hyperlink" Target="https://api.68sms.com/api/sms/get?key=3266f02bc09eb46d0bc5dec07cd59b9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workbookViewId="0">
      <selection activeCell="C5" sqref="C5"/>
    </sheetView>
  </sheetViews>
  <sheetFormatPr defaultColWidth="9.140625" defaultRowHeight="15"/>
  <cols>
    <col min="1" max="1" width="33.42578125" customWidth="1"/>
    <col min="2" max="2" width="62" style="19" customWidth="1"/>
    <col min="3" max="3" width="18.28515625" style="19"/>
    <col min="4" max="4" width="28.85546875" style="66" customWidth="1"/>
    <col min="7" max="7" width="11.140625"/>
    <col min="8" max="8" width="25" customWidth="1"/>
  </cols>
  <sheetData>
    <row r="1" spans="1:13">
      <c r="A1" s="19" t="s">
        <v>0</v>
      </c>
      <c r="B1" t="s">
        <v>1</v>
      </c>
      <c r="C1" s="19" t="s">
        <v>2</v>
      </c>
      <c r="D1" s="66" t="s">
        <v>1</v>
      </c>
      <c r="E1" s="19" t="s">
        <v>3</v>
      </c>
      <c r="F1" s="19" t="s">
        <v>4</v>
      </c>
      <c r="G1" s="19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3">
      <c r="A2" t="s">
        <v>11</v>
      </c>
      <c r="B2" s="19" t="s">
        <v>12</v>
      </c>
      <c r="C2" s="19" t="s">
        <v>13</v>
      </c>
      <c r="D2" s="66" t="s">
        <v>14</v>
      </c>
      <c r="E2" t="s">
        <v>15</v>
      </c>
      <c r="G2" t="s">
        <v>16</v>
      </c>
      <c r="L2">
        <v>6000</v>
      </c>
    </row>
    <row r="3" spans="1:13">
      <c r="A3" t="s">
        <v>17</v>
      </c>
      <c r="B3" s="19" t="s">
        <v>18</v>
      </c>
      <c r="C3" s="19" t="s">
        <v>19</v>
      </c>
      <c r="D3" s="66" t="s">
        <v>20</v>
      </c>
      <c r="E3" t="s">
        <v>21</v>
      </c>
      <c r="G3" s="8" t="s">
        <v>16</v>
      </c>
      <c r="H3" t="s">
        <v>22</v>
      </c>
      <c r="I3">
        <v>3000</v>
      </c>
      <c r="J3" t="s">
        <v>23</v>
      </c>
      <c r="K3" t="s">
        <v>24</v>
      </c>
      <c r="L3">
        <v>6500</v>
      </c>
    </row>
    <row r="4" spans="1:13" ht="15" customHeight="1">
      <c r="A4" t="s">
        <v>25</v>
      </c>
      <c r="B4" s="19" t="s">
        <v>12</v>
      </c>
      <c r="C4" s="10" t="s">
        <v>26</v>
      </c>
      <c r="D4" s="67" t="s">
        <v>27</v>
      </c>
      <c r="E4" t="s">
        <v>28</v>
      </c>
      <c r="G4" t="s">
        <v>29</v>
      </c>
      <c r="H4" t="s">
        <v>22</v>
      </c>
      <c r="I4">
        <v>3000</v>
      </c>
      <c r="J4" t="s">
        <v>23</v>
      </c>
      <c r="K4" t="s">
        <v>24</v>
      </c>
      <c r="L4">
        <v>7000</v>
      </c>
      <c r="M4">
        <f>SUM(L3:L8)</f>
        <v>39000</v>
      </c>
    </row>
    <row r="5" spans="1:13" ht="15" customHeight="1">
      <c r="A5" t="s">
        <v>30</v>
      </c>
      <c r="B5" s="19" t="s">
        <v>12</v>
      </c>
      <c r="C5" s="19" t="s">
        <v>31</v>
      </c>
      <c r="D5" s="66" t="s">
        <v>32</v>
      </c>
      <c r="E5" t="s">
        <v>28</v>
      </c>
      <c r="G5" t="s">
        <v>33</v>
      </c>
      <c r="H5" t="s">
        <v>22</v>
      </c>
      <c r="I5">
        <v>3000</v>
      </c>
      <c r="J5" t="s">
        <v>23</v>
      </c>
      <c r="K5" t="s">
        <v>34</v>
      </c>
      <c r="L5">
        <v>6500</v>
      </c>
    </row>
    <row r="6" spans="1:13">
      <c r="A6" t="s">
        <v>35</v>
      </c>
      <c r="B6" s="19" t="s">
        <v>36</v>
      </c>
      <c r="C6" s="19" t="s">
        <v>19</v>
      </c>
      <c r="D6" s="66" t="s">
        <v>37</v>
      </c>
      <c r="E6" t="s">
        <v>38</v>
      </c>
      <c r="G6" t="s">
        <v>16</v>
      </c>
      <c r="H6" t="s">
        <v>39</v>
      </c>
      <c r="L6">
        <v>9000</v>
      </c>
    </row>
    <row r="7" spans="1:13">
      <c r="A7" t="s">
        <v>40</v>
      </c>
      <c r="B7" s="19" t="s">
        <v>41</v>
      </c>
      <c r="C7" s="19" t="s">
        <v>13</v>
      </c>
      <c r="D7" s="66" t="s">
        <v>14</v>
      </c>
      <c r="E7" t="s">
        <v>38</v>
      </c>
      <c r="F7" t="s">
        <v>42</v>
      </c>
      <c r="G7" t="s">
        <v>16</v>
      </c>
      <c r="H7" t="s">
        <v>43</v>
      </c>
      <c r="L7">
        <v>6000</v>
      </c>
    </row>
    <row r="8" spans="1:13">
      <c r="A8" t="s">
        <v>44</v>
      </c>
      <c r="B8" s="19" t="s">
        <v>36</v>
      </c>
      <c r="C8" s="19" t="s">
        <v>31</v>
      </c>
      <c r="D8" s="66" t="s">
        <v>45</v>
      </c>
      <c r="E8" t="s">
        <v>28</v>
      </c>
      <c r="G8" t="s">
        <v>16</v>
      </c>
      <c r="H8" t="s">
        <v>46</v>
      </c>
      <c r="L8">
        <v>4000</v>
      </c>
    </row>
    <row r="9" spans="1:13" s="39" customFormat="1" ht="15" customHeight="1">
      <c r="A9" s="39" t="s">
        <v>47</v>
      </c>
      <c r="B9" s="68" t="s">
        <v>48</v>
      </c>
      <c r="C9" s="68" t="s">
        <v>49</v>
      </c>
      <c r="D9" s="69" t="s">
        <v>50</v>
      </c>
      <c r="E9" s="39" t="s">
        <v>28</v>
      </c>
      <c r="F9" s="39" t="s">
        <v>51</v>
      </c>
      <c r="G9" s="46">
        <v>45499</v>
      </c>
      <c r="H9" s="39" t="s">
        <v>52</v>
      </c>
      <c r="I9" s="39" t="s">
        <v>53</v>
      </c>
      <c r="K9" s="39" t="s">
        <v>54</v>
      </c>
      <c r="L9" s="39">
        <v>6500</v>
      </c>
    </row>
    <row r="10" spans="1:13" s="39" customFormat="1" ht="15" customHeight="1">
      <c r="A10" s="39" t="s">
        <v>55</v>
      </c>
      <c r="B10" s="68" t="s">
        <v>56</v>
      </c>
      <c r="C10" s="68" t="s">
        <v>31</v>
      </c>
      <c r="D10" s="69" t="s">
        <v>57</v>
      </c>
      <c r="E10" s="39" t="s">
        <v>28</v>
      </c>
      <c r="F10" s="39" t="s">
        <v>51</v>
      </c>
      <c r="G10" s="70">
        <v>45352</v>
      </c>
      <c r="H10" s="39" t="s">
        <v>58</v>
      </c>
      <c r="I10" s="39">
        <v>3000</v>
      </c>
      <c r="J10" s="39" t="s">
        <v>23</v>
      </c>
      <c r="K10" s="39" t="s">
        <v>34</v>
      </c>
    </row>
    <row r="11" spans="1:13" s="28" customFormat="1" ht="15.95" customHeight="1">
      <c r="A11" s="71" t="s">
        <v>59</v>
      </c>
      <c r="B11" s="71" t="s">
        <v>56</v>
      </c>
      <c r="C11" s="72" t="s">
        <v>49</v>
      </c>
      <c r="D11" s="72" t="s">
        <v>60</v>
      </c>
      <c r="E11" s="44" t="s">
        <v>61</v>
      </c>
      <c r="F11" s="44" t="s">
        <v>51</v>
      </c>
      <c r="G11" s="73"/>
      <c r="H11" s="44" t="s">
        <v>22</v>
      </c>
      <c r="I11" s="44">
        <v>3000</v>
      </c>
      <c r="J11" s="44" t="s">
        <v>23</v>
      </c>
      <c r="K11" s="44" t="s">
        <v>24</v>
      </c>
      <c r="L11" s="28" t="s">
        <v>62</v>
      </c>
    </row>
    <row r="12" spans="1:13" s="28" customFormat="1" ht="15" customHeight="1">
      <c r="A12" s="28" t="s">
        <v>63</v>
      </c>
      <c r="B12" s="74" t="s">
        <v>64</v>
      </c>
      <c r="C12" s="75" t="s">
        <v>31</v>
      </c>
      <c r="D12" s="76" t="s">
        <v>65</v>
      </c>
    </row>
    <row r="13" spans="1:13" s="65" customFormat="1" ht="15" customHeight="1">
      <c r="A13" s="65" t="s">
        <v>66</v>
      </c>
      <c r="B13" s="77" t="s">
        <v>41</v>
      </c>
      <c r="C13" s="77">
        <v>31100209</v>
      </c>
      <c r="D13" s="78" t="s">
        <v>67</v>
      </c>
      <c r="E13" s="65" t="s">
        <v>28</v>
      </c>
      <c r="F13" s="65" t="s">
        <v>68</v>
      </c>
      <c r="H13" s="65" t="s">
        <v>69</v>
      </c>
      <c r="I13" s="65">
        <v>3000</v>
      </c>
      <c r="J13" s="85">
        <v>45348</v>
      </c>
      <c r="K13" s="65" t="s">
        <v>34</v>
      </c>
    </row>
    <row r="14" spans="1:13" s="9" customFormat="1">
      <c r="A14" s="9" t="s">
        <v>70</v>
      </c>
      <c r="B14" s="79" t="s">
        <v>71</v>
      </c>
      <c r="C14" s="79">
        <v>61120084</v>
      </c>
      <c r="D14" s="80">
        <v>4025268031795</v>
      </c>
      <c r="E14" s="9" t="s">
        <v>38</v>
      </c>
      <c r="F14" s="9" t="s">
        <v>51</v>
      </c>
      <c r="G14" s="81"/>
    </row>
    <row r="15" spans="1:13" s="9" customFormat="1">
      <c r="A15" s="9" t="s">
        <v>72</v>
      </c>
      <c r="B15" s="79" t="s">
        <v>73</v>
      </c>
      <c r="C15" s="79">
        <v>61120084</v>
      </c>
      <c r="D15" s="80">
        <v>4025455890371</v>
      </c>
      <c r="E15" s="9" t="s">
        <v>38</v>
      </c>
      <c r="F15" s="9" t="s">
        <v>74</v>
      </c>
    </row>
    <row r="16" spans="1:13" s="9" customFormat="1">
      <c r="A16" s="9" t="s">
        <v>75</v>
      </c>
      <c r="B16" s="79" t="s">
        <v>76</v>
      </c>
      <c r="C16" s="79">
        <v>61120084</v>
      </c>
      <c r="D16" s="80">
        <v>4029173704265</v>
      </c>
      <c r="E16" s="9" t="s">
        <v>38</v>
      </c>
      <c r="F16" s="9" t="s">
        <v>51</v>
      </c>
      <c r="G16" s="81"/>
    </row>
    <row r="17" spans="1:15" s="9" customFormat="1">
      <c r="A17" s="9" t="s">
        <v>77</v>
      </c>
      <c r="B17" s="79" t="s">
        <v>18</v>
      </c>
      <c r="C17" s="79">
        <v>61120084</v>
      </c>
      <c r="D17" s="80">
        <v>4020799080511</v>
      </c>
      <c r="E17" s="9" t="s">
        <v>38</v>
      </c>
      <c r="F17" s="9" t="s">
        <v>51</v>
      </c>
    </row>
    <row r="18" spans="1:15" s="9" customFormat="1">
      <c r="A18" s="9" t="s">
        <v>78</v>
      </c>
      <c r="B18" s="79" t="s">
        <v>76</v>
      </c>
      <c r="C18" s="79">
        <v>61120084</v>
      </c>
      <c r="D18" s="80">
        <v>4029173704265</v>
      </c>
      <c r="E18" s="9" t="s">
        <v>38</v>
      </c>
      <c r="F18" s="9" t="s">
        <v>51</v>
      </c>
      <c r="G18" s="81"/>
    </row>
    <row r="19" spans="1:15">
      <c r="A19" s="9" t="s">
        <v>79</v>
      </c>
      <c r="B19" s="79" t="s">
        <v>80</v>
      </c>
      <c r="C19" s="79">
        <v>31100209</v>
      </c>
      <c r="D19" s="80" t="s">
        <v>81</v>
      </c>
      <c r="E19" s="9" t="s">
        <v>28</v>
      </c>
      <c r="F19" s="9" t="s">
        <v>51</v>
      </c>
      <c r="G19" s="9"/>
      <c r="H19" s="9"/>
      <c r="I19" s="9"/>
      <c r="J19" s="9"/>
      <c r="K19" s="9"/>
      <c r="L19" s="9"/>
      <c r="M19" s="9"/>
      <c r="N19" s="9"/>
      <c r="O19" s="9"/>
    </row>
    <row r="20" spans="1:15" s="39" customFormat="1">
      <c r="A20" s="39" t="s">
        <v>82</v>
      </c>
      <c r="B20" s="68" t="s">
        <v>18</v>
      </c>
      <c r="C20" s="68">
        <v>61120084</v>
      </c>
      <c r="D20" s="69">
        <v>4020799080511</v>
      </c>
      <c r="E20" s="39" t="s">
        <v>38</v>
      </c>
      <c r="F20" s="39" t="s">
        <v>51</v>
      </c>
      <c r="G20" s="70">
        <v>45351</v>
      </c>
      <c r="H20" s="39" t="s">
        <v>22</v>
      </c>
      <c r="I20" s="39">
        <v>3000</v>
      </c>
      <c r="J20" s="39" t="s">
        <v>23</v>
      </c>
      <c r="K20" s="39" t="s">
        <v>24</v>
      </c>
    </row>
    <row r="21" spans="1:15" s="41" customFormat="1">
      <c r="A21" s="41" t="s">
        <v>83</v>
      </c>
      <c r="B21" s="82" t="s">
        <v>18</v>
      </c>
      <c r="C21" s="82">
        <v>61120084</v>
      </c>
      <c r="D21" s="83"/>
      <c r="E21" s="41" t="s">
        <v>38</v>
      </c>
      <c r="F21" s="41" t="s">
        <v>51</v>
      </c>
      <c r="G21" s="84"/>
      <c r="H21" s="41" t="s">
        <v>22</v>
      </c>
      <c r="I21" s="41">
        <v>3000</v>
      </c>
      <c r="J21" s="41" t="s">
        <v>23</v>
      </c>
      <c r="K21" s="41" t="s">
        <v>24</v>
      </c>
    </row>
    <row r="22" spans="1:15">
      <c r="B22" s="19">
        <v>202402788983</v>
      </c>
    </row>
    <row r="23" spans="1:15">
      <c r="B23" s="19">
        <v>202472693738</v>
      </c>
    </row>
    <row r="26" spans="1:15">
      <c r="A26" t="s">
        <v>84</v>
      </c>
      <c r="B26" s="19">
        <v>202372508605</v>
      </c>
      <c r="C26" s="19" t="s">
        <v>49</v>
      </c>
    </row>
    <row r="27" spans="1:15">
      <c r="A27" t="s">
        <v>85</v>
      </c>
      <c r="B27" s="19" t="s">
        <v>86</v>
      </c>
      <c r="C27" s="19" t="s">
        <v>87</v>
      </c>
    </row>
    <row r="28" spans="1:15">
      <c r="A28" t="s">
        <v>88</v>
      </c>
      <c r="B28" s="19">
        <v>5733677914</v>
      </c>
      <c r="C28" s="19" t="s">
        <v>89</v>
      </c>
    </row>
    <row r="31" spans="1:15">
      <c r="B31" s="19">
        <v>7300</v>
      </c>
    </row>
    <row r="40" spans="1:2">
      <c r="A40" t="s">
        <v>90</v>
      </c>
      <c r="B40" s="19" t="s">
        <v>91</v>
      </c>
    </row>
    <row r="41" spans="1:2">
      <c r="A41" t="s">
        <v>92</v>
      </c>
      <c r="B41" s="19" t="s">
        <v>93</v>
      </c>
    </row>
    <row r="42" spans="1:2">
      <c r="A42" t="s">
        <v>92</v>
      </c>
      <c r="B42" s="19" t="s">
        <v>94</v>
      </c>
    </row>
    <row r="43" spans="1:2">
      <c r="A43" t="s">
        <v>95</v>
      </c>
      <c r="B43" s="19" t="s">
        <v>96</v>
      </c>
    </row>
    <row r="44" spans="1:2">
      <c r="A44" t="s">
        <v>97</v>
      </c>
      <c r="B44" s="19" t="s">
        <v>96</v>
      </c>
    </row>
    <row r="45" spans="1:2">
      <c r="A45" t="s">
        <v>98</v>
      </c>
      <c r="B45" s="19" t="s">
        <v>99</v>
      </c>
    </row>
    <row r="46" spans="1:2">
      <c r="A46" t="s">
        <v>98</v>
      </c>
      <c r="B46" s="19" t="s">
        <v>100</v>
      </c>
    </row>
    <row r="47" spans="1:2">
      <c r="A47" t="s">
        <v>101</v>
      </c>
    </row>
    <row r="48" spans="1:2">
      <c r="A48" t="s">
        <v>102</v>
      </c>
    </row>
    <row r="49" spans="1:2">
      <c r="A49" t="s">
        <v>103</v>
      </c>
      <c r="B49" s="19" t="s">
        <v>104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81"/>
  <sheetViews>
    <sheetView topLeftCell="A531" workbookViewId="0">
      <selection activeCell="C502" sqref="C502"/>
    </sheetView>
  </sheetViews>
  <sheetFormatPr defaultColWidth="9.140625" defaultRowHeight="15"/>
  <cols>
    <col min="1" max="1" width="6.7109375" customWidth="1"/>
    <col min="2" max="2" width="11.42578125" customWidth="1"/>
    <col min="3" max="3" width="42.42578125" customWidth="1"/>
    <col min="4" max="4" width="20.140625" customWidth="1"/>
    <col min="5" max="5" width="9.5703125" customWidth="1"/>
    <col min="6" max="6" width="12.7109375" customWidth="1"/>
    <col min="7" max="7" width="30.5703125" customWidth="1"/>
    <col min="8" max="8" width="9.28515625" customWidth="1"/>
    <col min="9" max="9" width="21" customWidth="1"/>
    <col min="11" max="11" width="12.28515625" customWidth="1"/>
  </cols>
  <sheetData>
    <row r="1" spans="1:15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</row>
    <row r="2" spans="1:15" s="39" customFormat="1">
      <c r="A2" s="46">
        <v>45351</v>
      </c>
      <c r="B2" s="39" t="s">
        <v>120</v>
      </c>
      <c r="C2" s="39" t="s">
        <v>121</v>
      </c>
      <c r="D2" s="39" t="s">
        <v>56</v>
      </c>
      <c r="E2" s="39" t="s">
        <v>122</v>
      </c>
      <c r="F2" s="39" t="s">
        <v>123</v>
      </c>
      <c r="G2" s="39" t="s">
        <v>124</v>
      </c>
      <c r="H2" s="39" t="s">
        <v>125</v>
      </c>
    </row>
    <row r="3" spans="1:15">
      <c r="A3" s="22">
        <v>45351</v>
      </c>
      <c r="B3" t="s">
        <v>126</v>
      </c>
      <c r="C3" t="s">
        <v>127</v>
      </c>
      <c r="D3" t="s">
        <v>41</v>
      </c>
      <c r="E3" t="s">
        <v>128</v>
      </c>
      <c r="F3" t="s">
        <v>129</v>
      </c>
      <c r="G3" t="s">
        <v>124</v>
      </c>
      <c r="H3" t="s">
        <v>125</v>
      </c>
    </row>
    <row r="4" spans="1:15" s="9" customFormat="1">
      <c r="A4" s="47">
        <v>45351</v>
      </c>
      <c r="B4" s="9" t="s">
        <v>130</v>
      </c>
      <c r="C4" s="9" t="s">
        <v>131</v>
      </c>
      <c r="D4" s="9" t="s">
        <v>64</v>
      </c>
      <c r="E4" s="9" t="s">
        <v>132</v>
      </c>
      <c r="F4" s="9" t="s">
        <v>133</v>
      </c>
      <c r="G4" s="9" t="s">
        <v>124</v>
      </c>
      <c r="H4" s="9" t="s">
        <v>125</v>
      </c>
    </row>
    <row r="5" spans="1:15" s="9" customFormat="1">
      <c r="A5" s="47">
        <v>45356</v>
      </c>
      <c r="B5" s="9" t="s">
        <v>134</v>
      </c>
      <c r="C5" s="9" t="s">
        <v>135</v>
      </c>
      <c r="D5" s="9" t="s">
        <v>41</v>
      </c>
      <c r="E5" s="9" t="s">
        <v>122</v>
      </c>
      <c r="F5" s="9" t="s">
        <v>136</v>
      </c>
      <c r="G5" s="9" t="s">
        <v>137</v>
      </c>
      <c r="H5" s="9" t="s">
        <v>125</v>
      </c>
    </row>
    <row r="6" spans="1:15" s="40" customFormat="1">
      <c r="A6" s="48">
        <v>45356</v>
      </c>
      <c r="B6" s="40" t="s">
        <v>130</v>
      </c>
      <c r="C6" s="40" t="s">
        <v>138</v>
      </c>
      <c r="D6" s="40" t="s">
        <v>139</v>
      </c>
      <c r="E6" s="40" t="s">
        <v>122</v>
      </c>
      <c r="F6" s="40" t="s">
        <v>136</v>
      </c>
      <c r="G6" s="40" t="s">
        <v>137</v>
      </c>
      <c r="H6" s="40" t="s">
        <v>125</v>
      </c>
    </row>
    <row r="7" spans="1:15" s="9" customFormat="1">
      <c r="A7" s="47">
        <v>45356</v>
      </c>
      <c r="B7" s="9" t="s">
        <v>140</v>
      </c>
      <c r="C7" s="9" t="s">
        <v>141</v>
      </c>
      <c r="D7" s="9" t="s">
        <v>141</v>
      </c>
      <c r="E7" s="9" t="s">
        <v>142</v>
      </c>
      <c r="F7" s="9" t="s">
        <v>143</v>
      </c>
      <c r="G7" s="9" t="s">
        <v>124</v>
      </c>
      <c r="H7" s="9" t="s">
        <v>125</v>
      </c>
    </row>
    <row r="8" spans="1:15" s="9" customFormat="1">
      <c r="A8" s="47">
        <v>45357</v>
      </c>
      <c r="B8" s="9" t="s">
        <v>144</v>
      </c>
      <c r="C8" s="9" t="s">
        <v>131</v>
      </c>
      <c r="D8" s="9" t="s">
        <v>64</v>
      </c>
      <c r="E8" s="9" t="s">
        <v>132</v>
      </c>
      <c r="F8" s="9" t="s">
        <v>133</v>
      </c>
      <c r="G8" s="9" t="s">
        <v>145</v>
      </c>
      <c r="H8" s="9" t="s">
        <v>125</v>
      </c>
    </row>
    <row r="9" spans="1:15">
      <c r="A9" s="22">
        <v>45357</v>
      </c>
      <c r="B9" t="s">
        <v>146</v>
      </c>
      <c r="C9" t="s">
        <v>131</v>
      </c>
      <c r="D9" t="s">
        <v>147</v>
      </c>
      <c r="E9" t="s">
        <v>148</v>
      </c>
      <c r="F9" t="s">
        <v>149</v>
      </c>
      <c r="G9" t="s">
        <v>124</v>
      </c>
      <c r="H9" t="s">
        <v>125</v>
      </c>
    </row>
    <row r="10" spans="1:15">
      <c r="A10" s="22">
        <v>45357</v>
      </c>
      <c r="B10" t="s">
        <v>150</v>
      </c>
      <c r="C10" t="s">
        <v>151</v>
      </c>
      <c r="D10" t="s">
        <v>56</v>
      </c>
      <c r="E10" t="s">
        <v>122</v>
      </c>
      <c r="F10" t="s">
        <v>123</v>
      </c>
      <c r="G10" t="s">
        <v>137</v>
      </c>
      <c r="H10" t="s">
        <v>152</v>
      </c>
    </row>
    <row r="11" spans="1:15">
      <c r="A11" s="22">
        <v>45358</v>
      </c>
      <c r="B11" t="s">
        <v>153</v>
      </c>
      <c r="C11" t="s">
        <v>154</v>
      </c>
      <c r="D11" t="s">
        <v>139</v>
      </c>
      <c r="E11" t="s">
        <v>122</v>
      </c>
      <c r="F11" t="s">
        <v>123</v>
      </c>
      <c r="G11" t="s">
        <v>124</v>
      </c>
      <c r="H11" t="s">
        <v>155</v>
      </c>
    </row>
    <row r="12" spans="1:15">
      <c r="A12" s="22">
        <v>45358</v>
      </c>
      <c r="B12" t="s">
        <v>156</v>
      </c>
      <c r="C12" t="s">
        <v>157</v>
      </c>
      <c r="D12" t="s">
        <v>139</v>
      </c>
      <c r="E12" t="s">
        <v>122</v>
      </c>
      <c r="F12" t="s">
        <v>123</v>
      </c>
      <c r="G12" t="s">
        <v>124</v>
      </c>
      <c r="H12" t="s">
        <v>155</v>
      </c>
    </row>
    <row r="13" spans="1:15" s="9" customFormat="1">
      <c r="A13" s="47">
        <v>45359</v>
      </c>
      <c r="B13" s="49">
        <v>0.50868055555555602</v>
      </c>
      <c r="C13" s="9" t="s">
        <v>158</v>
      </c>
      <c r="D13" s="9" t="s">
        <v>56</v>
      </c>
      <c r="E13" s="9" t="s">
        <v>122</v>
      </c>
      <c r="F13" s="9" t="s">
        <v>123</v>
      </c>
      <c r="G13" s="9" t="s">
        <v>124</v>
      </c>
      <c r="H13" s="9" t="s">
        <v>125</v>
      </c>
    </row>
    <row r="14" spans="1:15">
      <c r="A14" s="22">
        <v>45363</v>
      </c>
      <c r="B14" s="50" t="s">
        <v>159</v>
      </c>
      <c r="C14" t="s">
        <v>160</v>
      </c>
      <c r="D14" t="s">
        <v>36</v>
      </c>
      <c r="E14" t="s">
        <v>122</v>
      </c>
      <c r="F14" t="s">
        <v>123</v>
      </c>
      <c r="G14" t="s">
        <v>145</v>
      </c>
      <c r="H14" t="s">
        <v>161</v>
      </c>
      <c r="I14" t="s">
        <v>162</v>
      </c>
    </row>
    <row r="15" spans="1:15">
      <c r="A15" s="22">
        <v>45363</v>
      </c>
      <c r="B15" s="50" t="s">
        <v>163</v>
      </c>
      <c r="C15" s="51" t="s">
        <v>164</v>
      </c>
      <c r="D15" t="s">
        <v>56</v>
      </c>
      <c r="E15" t="s">
        <v>142</v>
      </c>
      <c r="F15" t="s">
        <v>165</v>
      </c>
      <c r="G15" t="s">
        <v>124</v>
      </c>
      <c r="H15" t="s">
        <v>125</v>
      </c>
      <c r="I15" t="s">
        <v>166</v>
      </c>
    </row>
    <row r="16" spans="1:15">
      <c r="A16" s="22">
        <v>45363</v>
      </c>
      <c r="B16" t="s">
        <v>167</v>
      </c>
      <c r="C16" t="s">
        <v>157</v>
      </c>
      <c r="D16" t="s">
        <v>56</v>
      </c>
      <c r="E16" t="s">
        <v>132</v>
      </c>
      <c r="F16" t="s">
        <v>123</v>
      </c>
      <c r="G16" t="s">
        <v>124</v>
      </c>
      <c r="H16" t="s">
        <v>125</v>
      </c>
      <c r="I16" t="s">
        <v>166</v>
      </c>
    </row>
    <row r="17" spans="1:11">
      <c r="A17" s="22">
        <v>45363</v>
      </c>
      <c r="B17" t="s">
        <v>168</v>
      </c>
      <c r="C17" t="s">
        <v>158</v>
      </c>
      <c r="D17" t="s">
        <v>56</v>
      </c>
      <c r="E17" t="s">
        <v>122</v>
      </c>
      <c r="F17" t="s">
        <v>123</v>
      </c>
      <c r="G17" t="s">
        <v>145</v>
      </c>
      <c r="H17" t="s">
        <v>152</v>
      </c>
      <c r="I17" t="s">
        <v>169</v>
      </c>
    </row>
    <row r="18" spans="1:11" s="9" customFormat="1">
      <c r="A18" s="47">
        <v>45363</v>
      </c>
      <c r="B18" s="9" t="s">
        <v>170</v>
      </c>
      <c r="C18" s="9" t="s">
        <v>171</v>
      </c>
      <c r="D18" s="9" t="s">
        <v>172</v>
      </c>
      <c r="E18" s="9" t="s">
        <v>132</v>
      </c>
      <c r="F18" s="9" t="s">
        <v>173</v>
      </c>
      <c r="G18" s="9" t="s">
        <v>124</v>
      </c>
      <c r="H18" s="9" t="s">
        <v>125</v>
      </c>
      <c r="I18" s="9" t="s">
        <v>166</v>
      </c>
    </row>
    <row r="19" spans="1:11">
      <c r="A19" s="22">
        <v>45364</v>
      </c>
      <c r="B19" t="s">
        <v>146</v>
      </c>
      <c r="C19" t="s">
        <v>174</v>
      </c>
      <c r="D19" t="s">
        <v>56</v>
      </c>
      <c r="E19" t="s">
        <v>122</v>
      </c>
      <c r="F19" t="s">
        <v>175</v>
      </c>
      <c r="G19" t="s">
        <v>124</v>
      </c>
      <c r="H19" t="s">
        <v>125</v>
      </c>
    </row>
    <row r="20" spans="1:11" s="9" customFormat="1">
      <c r="A20" s="47">
        <v>45366</v>
      </c>
      <c r="B20" s="9" t="s">
        <v>176</v>
      </c>
      <c r="C20" s="9" t="s">
        <v>177</v>
      </c>
      <c r="D20" s="9" t="s">
        <v>178</v>
      </c>
      <c r="E20" s="9" t="s">
        <v>122</v>
      </c>
      <c r="F20" s="9" t="s">
        <v>123</v>
      </c>
      <c r="G20" s="9" t="s">
        <v>179</v>
      </c>
      <c r="H20" s="9" t="s">
        <v>152</v>
      </c>
      <c r="I20" s="9" t="s">
        <v>180</v>
      </c>
    </row>
    <row r="21" spans="1:11" s="9" customFormat="1">
      <c r="A21" s="47">
        <v>45366</v>
      </c>
      <c r="B21" s="9" t="s">
        <v>120</v>
      </c>
      <c r="C21" s="9" t="s">
        <v>181</v>
      </c>
      <c r="D21" s="9" t="s">
        <v>178</v>
      </c>
      <c r="E21" s="9" t="s">
        <v>182</v>
      </c>
      <c r="F21" s="9" t="s">
        <v>123</v>
      </c>
      <c r="G21" s="9" t="s">
        <v>124</v>
      </c>
      <c r="H21" s="9" t="s">
        <v>125</v>
      </c>
    </row>
    <row r="22" spans="1:11" s="9" customFormat="1">
      <c r="A22" s="47">
        <v>45366</v>
      </c>
      <c r="B22" s="9" t="s">
        <v>183</v>
      </c>
      <c r="C22" s="9" t="s">
        <v>184</v>
      </c>
      <c r="D22" s="9" t="s">
        <v>185</v>
      </c>
      <c r="E22" s="9" t="s">
        <v>39</v>
      </c>
      <c r="F22" s="9" t="s">
        <v>123</v>
      </c>
      <c r="G22" s="9" t="s">
        <v>145</v>
      </c>
      <c r="H22" s="9" t="s">
        <v>152</v>
      </c>
    </row>
    <row r="23" spans="1:11">
      <c r="A23" s="22">
        <v>45366</v>
      </c>
      <c r="B23" t="s">
        <v>186</v>
      </c>
      <c r="C23" t="s">
        <v>187</v>
      </c>
      <c r="D23" t="s">
        <v>188</v>
      </c>
      <c r="E23" t="s">
        <v>132</v>
      </c>
      <c r="F23" t="s">
        <v>189</v>
      </c>
      <c r="G23" t="s">
        <v>124</v>
      </c>
      <c r="H23" t="s">
        <v>125</v>
      </c>
    </row>
    <row r="24" spans="1:11">
      <c r="A24" s="22">
        <v>45366</v>
      </c>
      <c r="B24" t="s">
        <v>190</v>
      </c>
      <c r="C24" t="s">
        <v>191</v>
      </c>
      <c r="D24" t="s">
        <v>36</v>
      </c>
      <c r="E24" t="s">
        <v>122</v>
      </c>
      <c r="F24" t="s">
        <v>123</v>
      </c>
      <c r="G24" t="s">
        <v>124</v>
      </c>
      <c r="H24" t="s">
        <v>125</v>
      </c>
    </row>
    <row r="25" spans="1:11" s="9" customFormat="1">
      <c r="A25" s="47">
        <v>45369</v>
      </c>
      <c r="B25" s="9" t="s">
        <v>192</v>
      </c>
      <c r="C25" s="9" t="s">
        <v>184</v>
      </c>
      <c r="D25" s="9" t="s">
        <v>185</v>
      </c>
      <c r="E25" s="9" t="s">
        <v>39</v>
      </c>
      <c r="F25" s="9" t="s">
        <v>123</v>
      </c>
      <c r="G25" s="9" t="s">
        <v>193</v>
      </c>
      <c r="H25" s="9" t="s">
        <v>152</v>
      </c>
      <c r="I25" s="9" t="s">
        <v>194</v>
      </c>
    </row>
    <row r="26" spans="1:11">
      <c r="A26" s="47">
        <v>45369</v>
      </c>
      <c r="B26" s="9" t="s">
        <v>195</v>
      </c>
      <c r="C26" s="9" t="s">
        <v>184</v>
      </c>
      <c r="D26" s="9" t="s">
        <v>36</v>
      </c>
      <c r="E26" s="9" t="s">
        <v>196</v>
      </c>
      <c r="F26" s="9" t="s">
        <v>123</v>
      </c>
      <c r="G26" s="9" t="s">
        <v>145</v>
      </c>
      <c r="H26" s="9" t="s">
        <v>152</v>
      </c>
      <c r="I26" s="9" t="s">
        <v>194</v>
      </c>
      <c r="J26" s="9"/>
      <c r="K26" s="9"/>
    </row>
    <row r="27" spans="1:11">
      <c r="A27" s="22">
        <v>45369</v>
      </c>
      <c r="B27" t="s">
        <v>195</v>
      </c>
      <c r="C27" t="s">
        <v>197</v>
      </c>
      <c r="D27" t="s">
        <v>198</v>
      </c>
      <c r="E27" t="s">
        <v>199</v>
      </c>
      <c r="F27" t="s">
        <v>200</v>
      </c>
      <c r="G27" t="s">
        <v>124</v>
      </c>
      <c r="H27" t="s">
        <v>125</v>
      </c>
      <c r="I27" t="s">
        <v>194</v>
      </c>
    </row>
    <row r="28" spans="1:11" ht="15" customHeight="1">
      <c r="A28" s="22">
        <v>45369</v>
      </c>
      <c r="B28" t="s">
        <v>201</v>
      </c>
      <c r="C28" t="s">
        <v>202</v>
      </c>
      <c r="D28" t="s">
        <v>185</v>
      </c>
      <c r="E28" t="s">
        <v>203</v>
      </c>
      <c r="F28" t="s">
        <v>123</v>
      </c>
      <c r="G28" t="s">
        <v>124</v>
      </c>
      <c r="H28" t="s">
        <v>125</v>
      </c>
      <c r="I28" t="s">
        <v>204</v>
      </c>
    </row>
    <row r="29" spans="1:11" s="9" customFormat="1">
      <c r="A29" s="47">
        <v>45369</v>
      </c>
      <c r="B29" s="9" t="s">
        <v>126</v>
      </c>
      <c r="C29" s="9" t="s">
        <v>205</v>
      </c>
      <c r="D29" s="9" t="s">
        <v>36</v>
      </c>
      <c r="E29" s="9" t="s">
        <v>122</v>
      </c>
      <c r="F29" s="9" t="s">
        <v>123</v>
      </c>
      <c r="G29" s="9" t="s">
        <v>145</v>
      </c>
      <c r="H29" s="9" t="s">
        <v>125</v>
      </c>
      <c r="I29" s="9" t="s">
        <v>194</v>
      </c>
    </row>
    <row r="30" spans="1:11">
      <c r="A30" s="22">
        <v>45369</v>
      </c>
      <c r="B30" t="s">
        <v>126</v>
      </c>
      <c r="C30" t="s">
        <v>206</v>
      </c>
      <c r="D30" t="s">
        <v>185</v>
      </c>
      <c r="E30" t="s">
        <v>39</v>
      </c>
      <c r="F30" t="s">
        <v>123</v>
      </c>
      <c r="G30" t="s">
        <v>124</v>
      </c>
      <c r="H30" t="s">
        <v>125</v>
      </c>
      <c r="I30" t="s">
        <v>194</v>
      </c>
    </row>
    <row r="31" spans="1:11" s="9" customFormat="1">
      <c r="A31" s="47">
        <v>45369</v>
      </c>
      <c r="B31" s="9" t="s">
        <v>207</v>
      </c>
      <c r="C31" s="9" t="s">
        <v>208</v>
      </c>
      <c r="D31" s="9" t="s">
        <v>178</v>
      </c>
      <c r="E31" s="9" t="s">
        <v>182</v>
      </c>
      <c r="F31" s="9" t="s">
        <v>123</v>
      </c>
      <c r="G31" s="9" t="s">
        <v>124</v>
      </c>
      <c r="H31" s="9" t="s">
        <v>125</v>
      </c>
      <c r="I31" s="9" t="s">
        <v>194</v>
      </c>
    </row>
    <row r="32" spans="1:11">
      <c r="A32" s="22">
        <v>45369</v>
      </c>
      <c r="B32" t="s">
        <v>209</v>
      </c>
      <c r="C32" t="s">
        <v>210</v>
      </c>
      <c r="D32" t="s">
        <v>188</v>
      </c>
      <c r="E32" t="s">
        <v>142</v>
      </c>
      <c r="F32" t="s">
        <v>165</v>
      </c>
      <c r="G32" t="s">
        <v>124</v>
      </c>
      <c r="H32" t="s">
        <v>125</v>
      </c>
      <c r="I32" t="s">
        <v>194</v>
      </c>
    </row>
    <row r="33" spans="1:10" s="41" customFormat="1">
      <c r="A33" s="52">
        <v>45369</v>
      </c>
      <c r="B33" s="41" t="s">
        <v>130</v>
      </c>
      <c r="C33" s="41" t="s">
        <v>206</v>
      </c>
      <c r="D33" s="41" t="s">
        <v>211</v>
      </c>
      <c r="E33" s="41" t="s">
        <v>122</v>
      </c>
      <c r="F33" s="41" t="s">
        <v>123</v>
      </c>
      <c r="G33" s="41" t="s">
        <v>124</v>
      </c>
      <c r="H33" s="41" t="s">
        <v>125</v>
      </c>
      <c r="I33" s="41" t="s">
        <v>194</v>
      </c>
    </row>
    <row r="34" spans="1:10" s="9" customFormat="1">
      <c r="A34" s="47">
        <v>45369</v>
      </c>
      <c r="B34" s="9" t="s">
        <v>130</v>
      </c>
      <c r="C34" s="9" t="s">
        <v>212</v>
      </c>
      <c r="D34" s="9" t="s">
        <v>36</v>
      </c>
      <c r="E34" s="9" t="s">
        <v>39</v>
      </c>
      <c r="F34" s="9" t="s">
        <v>123</v>
      </c>
      <c r="G34" s="9" t="s">
        <v>124</v>
      </c>
      <c r="H34" s="9" t="s">
        <v>125</v>
      </c>
      <c r="I34" s="9" t="s">
        <v>194</v>
      </c>
    </row>
    <row r="35" spans="1:10" s="41" customFormat="1">
      <c r="A35" s="52">
        <v>45369</v>
      </c>
      <c r="B35" s="41" t="s">
        <v>213</v>
      </c>
      <c r="C35" s="41" t="s">
        <v>206</v>
      </c>
      <c r="D35" s="41" t="s">
        <v>36</v>
      </c>
      <c r="E35" s="41" t="s">
        <v>182</v>
      </c>
      <c r="F35" s="41" t="s">
        <v>123</v>
      </c>
      <c r="G35" s="41" t="s">
        <v>124</v>
      </c>
      <c r="H35" s="41" t="s">
        <v>125</v>
      </c>
      <c r="I35" s="41" t="s">
        <v>194</v>
      </c>
    </row>
    <row r="36" spans="1:10">
      <c r="A36" s="22">
        <v>45370</v>
      </c>
      <c r="B36" t="s">
        <v>214</v>
      </c>
      <c r="C36" t="s">
        <v>215</v>
      </c>
      <c r="D36" t="s">
        <v>216</v>
      </c>
      <c r="E36" t="s">
        <v>217</v>
      </c>
      <c r="F36" t="s">
        <v>189</v>
      </c>
      <c r="G36" t="s">
        <v>137</v>
      </c>
      <c r="H36" t="s">
        <v>155</v>
      </c>
      <c r="I36" t="s">
        <v>194</v>
      </c>
    </row>
    <row r="37" spans="1:10" s="9" customFormat="1">
      <c r="A37" s="47">
        <v>45370</v>
      </c>
      <c r="B37" s="9" t="s">
        <v>120</v>
      </c>
      <c r="C37" s="9" t="s">
        <v>218</v>
      </c>
      <c r="D37" s="9" t="s">
        <v>36</v>
      </c>
      <c r="E37" s="9" t="s">
        <v>122</v>
      </c>
      <c r="F37" s="9" t="s">
        <v>123</v>
      </c>
      <c r="G37" s="9" t="s">
        <v>124</v>
      </c>
      <c r="H37" s="9" t="s">
        <v>125</v>
      </c>
      <c r="I37" s="9" t="s">
        <v>194</v>
      </c>
      <c r="J37" s="9" t="s">
        <v>219</v>
      </c>
    </row>
    <row r="38" spans="1:10">
      <c r="A38" s="22">
        <v>45370</v>
      </c>
      <c r="B38" t="s">
        <v>220</v>
      </c>
      <c r="C38" t="s">
        <v>171</v>
      </c>
      <c r="D38" t="s">
        <v>172</v>
      </c>
      <c r="E38" t="s">
        <v>39</v>
      </c>
      <c r="F38" t="s">
        <v>123</v>
      </c>
      <c r="G38" t="s">
        <v>124</v>
      </c>
      <c r="H38" t="s">
        <v>152</v>
      </c>
      <c r="I38" t="s">
        <v>194</v>
      </c>
    </row>
    <row r="39" spans="1:10" s="9" customFormat="1">
      <c r="A39" s="47">
        <v>45370</v>
      </c>
      <c r="B39" s="9" t="s">
        <v>221</v>
      </c>
      <c r="C39" s="9" t="s">
        <v>205</v>
      </c>
      <c r="D39" s="9" t="s">
        <v>36</v>
      </c>
      <c r="E39" s="9" t="s">
        <v>122</v>
      </c>
      <c r="F39" s="9" t="s">
        <v>123</v>
      </c>
      <c r="G39" s="9" t="s">
        <v>222</v>
      </c>
      <c r="H39" s="9" t="s">
        <v>155</v>
      </c>
      <c r="I39" s="9" t="s">
        <v>194</v>
      </c>
    </row>
    <row r="40" spans="1:10">
      <c r="A40" s="22">
        <v>45370</v>
      </c>
      <c r="B40" t="s">
        <v>207</v>
      </c>
      <c r="C40" t="s">
        <v>223</v>
      </c>
      <c r="D40" t="s">
        <v>224</v>
      </c>
      <c r="E40" t="s">
        <v>132</v>
      </c>
      <c r="F40" t="s">
        <v>200</v>
      </c>
      <c r="G40" t="s">
        <v>137</v>
      </c>
      <c r="H40" t="s">
        <v>125</v>
      </c>
      <c r="I40" t="s">
        <v>194</v>
      </c>
    </row>
    <row r="41" spans="1:10" ht="18">
      <c r="A41" s="22">
        <v>45370</v>
      </c>
      <c r="B41" t="s">
        <v>186</v>
      </c>
      <c r="C41" s="53" t="s">
        <v>225</v>
      </c>
      <c r="D41" t="s">
        <v>172</v>
      </c>
      <c r="E41" t="s">
        <v>226</v>
      </c>
      <c r="F41" t="s">
        <v>200</v>
      </c>
      <c r="G41" t="s">
        <v>124</v>
      </c>
      <c r="H41" t="s">
        <v>125</v>
      </c>
      <c r="I41" t="s">
        <v>194</v>
      </c>
      <c r="J41" t="s">
        <v>227</v>
      </c>
    </row>
    <row r="42" spans="1:10">
      <c r="A42" s="22">
        <v>45370</v>
      </c>
      <c r="B42" t="s">
        <v>228</v>
      </c>
      <c r="C42" t="s">
        <v>229</v>
      </c>
      <c r="D42" t="s">
        <v>178</v>
      </c>
      <c r="E42" t="s">
        <v>182</v>
      </c>
      <c r="F42" t="s">
        <v>123</v>
      </c>
      <c r="G42" t="s">
        <v>137</v>
      </c>
      <c r="H42" t="s">
        <v>125</v>
      </c>
      <c r="I42" t="s">
        <v>194</v>
      </c>
    </row>
    <row r="43" spans="1:10">
      <c r="A43" s="22">
        <v>45370</v>
      </c>
      <c r="B43" t="s">
        <v>130</v>
      </c>
      <c r="C43" t="s">
        <v>230</v>
      </c>
      <c r="D43" t="s">
        <v>71</v>
      </c>
      <c r="E43" t="s">
        <v>231</v>
      </c>
      <c r="F43" t="s">
        <v>189</v>
      </c>
      <c r="G43" t="s">
        <v>137</v>
      </c>
      <c r="H43" t="s">
        <v>125</v>
      </c>
      <c r="I43" t="s">
        <v>194</v>
      </c>
    </row>
    <row r="44" spans="1:10">
      <c r="A44" s="22">
        <v>45371</v>
      </c>
      <c r="B44" t="s">
        <v>232</v>
      </c>
      <c r="C44" t="s">
        <v>184</v>
      </c>
      <c r="D44" t="s">
        <v>185</v>
      </c>
      <c r="E44" t="s">
        <v>39</v>
      </c>
      <c r="F44" t="s">
        <v>123</v>
      </c>
      <c r="G44" t="s">
        <v>145</v>
      </c>
      <c r="H44" t="s">
        <v>152</v>
      </c>
      <c r="I44" t="s">
        <v>204</v>
      </c>
    </row>
    <row r="45" spans="1:10">
      <c r="A45" s="22">
        <v>45371</v>
      </c>
      <c r="B45" t="s">
        <v>233</v>
      </c>
      <c r="C45" t="s">
        <v>181</v>
      </c>
      <c r="D45" t="s">
        <v>178</v>
      </c>
      <c r="E45" t="s">
        <v>182</v>
      </c>
      <c r="F45" t="s">
        <v>123</v>
      </c>
      <c r="G45" t="s">
        <v>145</v>
      </c>
      <c r="H45" t="s">
        <v>152</v>
      </c>
      <c r="I45" t="s">
        <v>194</v>
      </c>
    </row>
    <row r="46" spans="1:10">
      <c r="A46" s="22">
        <v>45371</v>
      </c>
      <c r="B46" t="s">
        <v>234</v>
      </c>
      <c r="C46" t="s">
        <v>235</v>
      </c>
      <c r="D46" t="s">
        <v>178</v>
      </c>
      <c r="E46" t="s">
        <v>132</v>
      </c>
      <c r="F46" t="s">
        <v>123</v>
      </c>
      <c r="G46" t="s">
        <v>145</v>
      </c>
      <c r="H46" t="s">
        <v>236</v>
      </c>
      <c r="I46" t="s">
        <v>194</v>
      </c>
    </row>
    <row r="47" spans="1:10" s="9" customFormat="1">
      <c r="A47" s="47">
        <v>45371</v>
      </c>
      <c r="B47" s="9" t="s">
        <v>195</v>
      </c>
      <c r="C47" s="9" t="s">
        <v>184</v>
      </c>
      <c r="D47" s="9" t="s">
        <v>139</v>
      </c>
      <c r="E47" s="9" t="s">
        <v>196</v>
      </c>
      <c r="F47" s="9" t="s">
        <v>123</v>
      </c>
      <c r="G47" s="9" t="s">
        <v>237</v>
      </c>
      <c r="H47" s="9" t="s">
        <v>152</v>
      </c>
      <c r="I47" s="9" t="s">
        <v>194</v>
      </c>
    </row>
    <row r="48" spans="1:10">
      <c r="A48" s="22">
        <v>45371</v>
      </c>
      <c r="B48" t="s">
        <v>126</v>
      </c>
      <c r="C48" t="s">
        <v>238</v>
      </c>
      <c r="D48" t="s">
        <v>178</v>
      </c>
      <c r="E48" t="s">
        <v>203</v>
      </c>
      <c r="F48" t="s">
        <v>123</v>
      </c>
      <c r="G48" t="s">
        <v>124</v>
      </c>
      <c r="H48" t="s">
        <v>125</v>
      </c>
      <c r="I48" t="s">
        <v>194</v>
      </c>
    </row>
    <row r="49" spans="1:10">
      <c r="A49" s="22">
        <v>45371</v>
      </c>
      <c r="B49" t="s">
        <v>239</v>
      </c>
      <c r="C49" t="s">
        <v>240</v>
      </c>
      <c r="D49" t="s">
        <v>188</v>
      </c>
      <c r="E49" t="s">
        <v>182</v>
      </c>
      <c r="F49" t="s">
        <v>123</v>
      </c>
      <c r="G49" t="s">
        <v>124</v>
      </c>
      <c r="H49" t="s">
        <v>125</v>
      </c>
      <c r="I49" t="s">
        <v>194</v>
      </c>
      <c r="J49" t="s">
        <v>241</v>
      </c>
    </row>
    <row r="50" spans="1:10">
      <c r="A50" s="22">
        <v>45371</v>
      </c>
      <c r="B50" t="s">
        <v>146</v>
      </c>
      <c r="C50" t="s">
        <v>240</v>
      </c>
      <c r="D50" t="s">
        <v>198</v>
      </c>
      <c r="E50" t="s">
        <v>203</v>
      </c>
      <c r="F50" t="s">
        <v>123</v>
      </c>
      <c r="G50" t="s">
        <v>124</v>
      </c>
      <c r="H50" t="s">
        <v>125</v>
      </c>
      <c r="I50" t="s">
        <v>194</v>
      </c>
      <c r="J50" t="s">
        <v>241</v>
      </c>
    </row>
    <row r="51" spans="1:10" s="9" customFormat="1">
      <c r="A51" s="47">
        <v>45371</v>
      </c>
      <c r="B51" s="9" t="s">
        <v>242</v>
      </c>
      <c r="C51" s="9" t="s">
        <v>243</v>
      </c>
      <c r="D51" s="9" t="s">
        <v>188</v>
      </c>
      <c r="E51" s="9" t="s">
        <v>196</v>
      </c>
      <c r="F51" s="9" t="s">
        <v>123</v>
      </c>
      <c r="G51" s="9" t="s">
        <v>145</v>
      </c>
      <c r="H51" s="9" t="s">
        <v>152</v>
      </c>
      <c r="I51" s="9" t="s">
        <v>194</v>
      </c>
    </row>
    <row r="52" spans="1:10">
      <c r="A52" s="22">
        <v>45371</v>
      </c>
      <c r="B52" t="s">
        <v>244</v>
      </c>
      <c r="C52" t="s">
        <v>245</v>
      </c>
      <c r="D52" t="s">
        <v>246</v>
      </c>
      <c r="E52" t="s">
        <v>122</v>
      </c>
      <c r="F52" t="s">
        <v>123</v>
      </c>
      <c r="G52" t="s">
        <v>145</v>
      </c>
      <c r="H52" t="s">
        <v>161</v>
      </c>
      <c r="I52" t="s">
        <v>194</v>
      </c>
    </row>
    <row r="53" spans="1:10">
      <c r="A53" s="22">
        <v>45372</v>
      </c>
      <c r="B53" t="s">
        <v>220</v>
      </c>
      <c r="C53" t="s">
        <v>177</v>
      </c>
      <c r="D53" t="s">
        <v>178</v>
      </c>
      <c r="E53" t="s">
        <v>122</v>
      </c>
      <c r="F53" t="s">
        <v>123</v>
      </c>
      <c r="G53" t="s">
        <v>247</v>
      </c>
      <c r="H53" t="s">
        <v>152</v>
      </c>
      <c r="I53" t="s">
        <v>194</v>
      </c>
    </row>
    <row r="54" spans="1:10" s="9" customFormat="1">
      <c r="A54" s="47">
        <v>45372</v>
      </c>
      <c r="B54" s="9" t="s">
        <v>146</v>
      </c>
      <c r="C54" s="9" t="s">
        <v>212</v>
      </c>
      <c r="D54" s="9" t="s">
        <v>36</v>
      </c>
      <c r="E54" s="9" t="s">
        <v>39</v>
      </c>
      <c r="F54" s="9" t="s">
        <v>123</v>
      </c>
      <c r="G54" s="9" t="s">
        <v>248</v>
      </c>
      <c r="H54" s="9" t="s">
        <v>125</v>
      </c>
      <c r="I54" s="9" t="s">
        <v>194</v>
      </c>
    </row>
    <row r="55" spans="1:10">
      <c r="A55" s="22">
        <v>45372</v>
      </c>
      <c r="B55" t="s">
        <v>249</v>
      </c>
      <c r="C55" t="s">
        <v>250</v>
      </c>
      <c r="D55" t="s">
        <v>36</v>
      </c>
      <c r="E55" t="s">
        <v>39</v>
      </c>
      <c r="F55" t="s">
        <v>123</v>
      </c>
      <c r="G55" t="s">
        <v>124</v>
      </c>
      <c r="H55" t="s">
        <v>125</v>
      </c>
      <c r="I55" t="s">
        <v>194</v>
      </c>
    </row>
    <row r="56" spans="1:10" s="9" customFormat="1">
      <c r="A56" s="47">
        <v>45372</v>
      </c>
      <c r="B56" s="9" t="s">
        <v>190</v>
      </c>
      <c r="C56" s="9" t="s">
        <v>251</v>
      </c>
      <c r="D56" s="9" t="s">
        <v>188</v>
      </c>
      <c r="E56" s="9" t="s">
        <v>122</v>
      </c>
      <c r="F56" s="9" t="s">
        <v>123</v>
      </c>
      <c r="G56" s="9" t="s">
        <v>124</v>
      </c>
      <c r="H56" s="9" t="s">
        <v>125</v>
      </c>
      <c r="I56" s="9" t="s">
        <v>194</v>
      </c>
    </row>
    <row r="57" spans="1:10">
      <c r="A57" s="22">
        <v>45372</v>
      </c>
      <c r="B57" t="s">
        <v>252</v>
      </c>
      <c r="D57" t="s">
        <v>188</v>
      </c>
      <c r="E57" t="s">
        <v>203</v>
      </c>
      <c r="F57" t="s">
        <v>123</v>
      </c>
      <c r="G57" t="s">
        <v>124</v>
      </c>
      <c r="H57" t="s">
        <v>125</v>
      </c>
      <c r="I57" t="s">
        <v>194</v>
      </c>
    </row>
    <row r="58" spans="1:10">
      <c r="A58" s="22">
        <v>45376</v>
      </c>
      <c r="B58" t="s">
        <v>253</v>
      </c>
      <c r="C58" t="s">
        <v>254</v>
      </c>
      <c r="D58" t="s">
        <v>178</v>
      </c>
      <c r="E58" t="s">
        <v>203</v>
      </c>
      <c r="F58" t="s">
        <v>123</v>
      </c>
      <c r="G58" t="s">
        <v>124</v>
      </c>
      <c r="H58" t="s">
        <v>161</v>
      </c>
    </row>
    <row r="59" spans="1:10">
      <c r="A59" s="22">
        <v>45376</v>
      </c>
      <c r="B59" t="s">
        <v>120</v>
      </c>
      <c r="C59" t="s">
        <v>255</v>
      </c>
      <c r="D59" t="s">
        <v>36</v>
      </c>
      <c r="E59" t="s">
        <v>203</v>
      </c>
      <c r="F59" t="s">
        <v>123</v>
      </c>
      <c r="G59" t="s">
        <v>124</v>
      </c>
      <c r="H59" t="s">
        <v>125</v>
      </c>
    </row>
    <row r="60" spans="1:10">
      <c r="A60" s="22">
        <v>45376</v>
      </c>
      <c r="B60" t="s">
        <v>120</v>
      </c>
      <c r="C60" t="s">
        <v>256</v>
      </c>
      <c r="D60" t="s">
        <v>178</v>
      </c>
      <c r="E60" t="s">
        <v>182</v>
      </c>
      <c r="F60" t="s">
        <v>123</v>
      </c>
      <c r="G60" t="s">
        <v>145</v>
      </c>
      <c r="H60" t="s">
        <v>161</v>
      </c>
    </row>
    <row r="61" spans="1:10">
      <c r="A61" s="22">
        <v>45376</v>
      </c>
      <c r="B61" t="s">
        <v>257</v>
      </c>
      <c r="C61" t="s">
        <v>258</v>
      </c>
      <c r="D61" t="s">
        <v>178</v>
      </c>
      <c r="E61" t="s">
        <v>203</v>
      </c>
      <c r="F61" t="s">
        <v>123</v>
      </c>
      <c r="G61" t="s">
        <v>124</v>
      </c>
      <c r="H61" t="s">
        <v>125</v>
      </c>
    </row>
    <row r="62" spans="1:10">
      <c r="A62" s="47">
        <v>45376</v>
      </c>
      <c r="B62" s="9" t="s">
        <v>168</v>
      </c>
      <c r="C62" s="9" t="s">
        <v>259</v>
      </c>
      <c r="D62" s="9" t="s">
        <v>36</v>
      </c>
      <c r="E62" s="9" t="s">
        <v>196</v>
      </c>
      <c r="F62" s="9" t="s">
        <v>123</v>
      </c>
      <c r="G62" s="9" t="s">
        <v>145</v>
      </c>
      <c r="H62" s="9" t="s">
        <v>152</v>
      </c>
      <c r="I62" s="9"/>
    </row>
    <row r="63" spans="1:10">
      <c r="A63" s="22">
        <v>45376</v>
      </c>
      <c r="B63" t="s">
        <v>146</v>
      </c>
      <c r="C63" t="s">
        <v>260</v>
      </c>
      <c r="D63" t="s">
        <v>178</v>
      </c>
      <c r="E63" t="s">
        <v>199</v>
      </c>
      <c r="F63" t="s">
        <v>200</v>
      </c>
      <c r="G63" t="s">
        <v>124</v>
      </c>
      <c r="H63" t="s">
        <v>125</v>
      </c>
    </row>
    <row r="64" spans="1:10">
      <c r="A64" s="22">
        <v>45376</v>
      </c>
      <c r="B64" t="s">
        <v>209</v>
      </c>
      <c r="C64" t="s">
        <v>208</v>
      </c>
      <c r="D64" t="s">
        <v>178</v>
      </c>
      <c r="E64" t="s">
        <v>182</v>
      </c>
      <c r="F64" t="s">
        <v>123</v>
      </c>
      <c r="G64" t="s">
        <v>145</v>
      </c>
      <c r="H64" t="s">
        <v>152</v>
      </c>
    </row>
    <row r="65" spans="1:9">
      <c r="A65" s="22">
        <v>45377</v>
      </c>
      <c r="B65" t="s">
        <v>159</v>
      </c>
      <c r="C65" t="s">
        <v>261</v>
      </c>
      <c r="D65" t="s">
        <v>36</v>
      </c>
      <c r="F65" t="s">
        <v>123</v>
      </c>
    </row>
    <row r="66" spans="1:9">
      <c r="A66" s="22">
        <v>45377</v>
      </c>
      <c r="B66" t="s">
        <v>262</v>
      </c>
      <c r="C66" t="s">
        <v>263</v>
      </c>
      <c r="D66" t="s">
        <v>178</v>
      </c>
      <c r="E66" t="s">
        <v>203</v>
      </c>
      <c r="F66" t="s">
        <v>123</v>
      </c>
      <c r="G66" t="s">
        <v>145</v>
      </c>
      <c r="H66" t="s">
        <v>125</v>
      </c>
      <c r="I66" t="s">
        <v>194</v>
      </c>
    </row>
    <row r="67" spans="1:9">
      <c r="A67" s="22">
        <v>45377</v>
      </c>
      <c r="B67" t="s">
        <v>264</v>
      </c>
      <c r="C67" t="s">
        <v>265</v>
      </c>
      <c r="D67" t="s">
        <v>56</v>
      </c>
      <c r="E67" t="s">
        <v>196</v>
      </c>
      <c r="F67" t="s">
        <v>123</v>
      </c>
      <c r="H67" t="s">
        <v>152</v>
      </c>
      <c r="I67" t="s">
        <v>194</v>
      </c>
    </row>
    <row r="68" spans="1:9">
      <c r="A68" s="22">
        <v>45377</v>
      </c>
      <c r="B68" t="s">
        <v>126</v>
      </c>
      <c r="C68" t="s">
        <v>127</v>
      </c>
      <c r="D68" t="s">
        <v>178</v>
      </c>
      <c r="E68" t="s">
        <v>39</v>
      </c>
      <c r="F68" t="s">
        <v>123</v>
      </c>
      <c r="G68" t="s">
        <v>124</v>
      </c>
      <c r="H68" t="s">
        <v>125</v>
      </c>
      <c r="I68" t="s">
        <v>266</v>
      </c>
    </row>
    <row r="69" spans="1:9">
      <c r="A69" s="22">
        <v>45377</v>
      </c>
      <c r="B69" t="s">
        <v>267</v>
      </c>
      <c r="C69" t="s">
        <v>268</v>
      </c>
      <c r="D69" t="s">
        <v>269</v>
      </c>
      <c r="E69" t="s">
        <v>182</v>
      </c>
      <c r="F69" t="s">
        <v>123</v>
      </c>
      <c r="G69" t="s">
        <v>124</v>
      </c>
      <c r="H69" t="s">
        <v>125</v>
      </c>
      <c r="I69" t="s">
        <v>194</v>
      </c>
    </row>
    <row r="70" spans="1:9">
      <c r="A70" s="22">
        <v>45377</v>
      </c>
      <c r="B70" t="s">
        <v>220</v>
      </c>
      <c r="C70" t="s">
        <v>243</v>
      </c>
      <c r="D70" t="s">
        <v>188</v>
      </c>
      <c r="E70" t="s">
        <v>196</v>
      </c>
      <c r="F70" t="s">
        <v>123</v>
      </c>
      <c r="G70" t="s">
        <v>237</v>
      </c>
      <c r="H70" t="s">
        <v>152</v>
      </c>
      <c r="I70" t="s">
        <v>194</v>
      </c>
    </row>
    <row r="71" spans="1:9">
      <c r="A71" s="22">
        <v>45377</v>
      </c>
      <c r="B71" t="s">
        <v>270</v>
      </c>
      <c r="C71" t="s">
        <v>271</v>
      </c>
      <c r="D71" t="s">
        <v>246</v>
      </c>
      <c r="E71" t="s">
        <v>182</v>
      </c>
      <c r="F71" t="s">
        <v>123</v>
      </c>
      <c r="G71" t="s">
        <v>124</v>
      </c>
      <c r="H71" t="s">
        <v>125</v>
      </c>
      <c r="I71" t="s">
        <v>194</v>
      </c>
    </row>
    <row r="72" spans="1:9">
      <c r="A72" s="22">
        <v>45377</v>
      </c>
      <c r="B72" t="s">
        <v>207</v>
      </c>
      <c r="C72" t="s">
        <v>258</v>
      </c>
      <c r="D72" t="s">
        <v>272</v>
      </c>
      <c r="E72" t="s">
        <v>122</v>
      </c>
      <c r="F72" t="s">
        <v>123</v>
      </c>
      <c r="G72" t="s">
        <v>124</v>
      </c>
      <c r="H72" t="s">
        <v>125</v>
      </c>
      <c r="I72" t="s">
        <v>194</v>
      </c>
    </row>
    <row r="73" spans="1:9">
      <c r="A73" s="22">
        <v>45377</v>
      </c>
      <c r="B73" t="s">
        <v>213</v>
      </c>
      <c r="D73" t="s">
        <v>56</v>
      </c>
    </row>
    <row r="74" spans="1:9" s="9" customFormat="1">
      <c r="A74" s="47">
        <v>45377</v>
      </c>
      <c r="B74" s="9" t="s">
        <v>273</v>
      </c>
      <c r="C74" s="9" t="s">
        <v>274</v>
      </c>
      <c r="D74" s="9" t="s">
        <v>178</v>
      </c>
      <c r="E74" s="9" t="s">
        <v>122</v>
      </c>
      <c r="F74" s="9" t="s">
        <v>123</v>
      </c>
      <c r="G74" s="9" t="s">
        <v>237</v>
      </c>
      <c r="H74" s="9" t="s">
        <v>152</v>
      </c>
      <c r="I74" s="9" t="s">
        <v>194</v>
      </c>
    </row>
    <row r="75" spans="1:9">
      <c r="A75" s="22">
        <v>45378</v>
      </c>
      <c r="B75" t="s">
        <v>163</v>
      </c>
      <c r="C75" t="s">
        <v>275</v>
      </c>
      <c r="D75" t="s">
        <v>276</v>
      </c>
      <c r="E75" t="s">
        <v>203</v>
      </c>
      <c r="F75" t="s">
        <v>123</v>
      </c>
      <c r="G75" t="s">
        <v>124</v>
      </c>
      <c r="H75" t="s">
        <v>125</v>
      </c>
      <c r="I75" t="s">
        <v>194</v>
      </c>
    </row>
    <row r="76" spans="1:9">
      <c r="A76" s="22">
        <v>45378</v>
      </c>
      <c r="B76" t="s">
        <v>262</v>
      </c>
      <c r="C76" t="s">
        <v>277</v>
      </c>
      <c r="D76" t="s">
        <v>278</v>
      </c>
      <c r="E76" t="s">
        <v>199</v>
      </c>
      <c r="F76" t="s">
        <v>200</v>
      </c>
      <c r="G76" t="s">
        <v>137</v>
      </c>
      <c r="H76" t="s">
        <v>125</v>
      </c>
      <c r="I76" t="s">
        <v>194</v>
      </c>
    </row>
    <row r="77" spans="1:9">
      <c r="A77" s="22">
        <v>45378</v>
      </c>
      <c r="B77" t="s">
        <v>257</v>
      </c>
      <c r="C77" t="s">
        <v>279</v>
      </c>
      <c r="D77" t="s">
        <v>178</v>
      </c>
      <c r="E77" t="s">
        <v>280</v>
      </c>
      <c r="F77" t="s">
        <v>200</v>
      </c>
      <c r="G77" t="s">
        <v>124</v>
      </c>
      <c r="H77" t="s">
        <v>125</v>
      </c>
      <c r="I77" t="s">
        <v>194</v>
      </c>
    </row>
    <row r="78" spans="1:9">
      <c r="A78" s="22">
        <v>45378</v>
      </c>
      <c r="B78" t="s">
        <v>249</v>
      </c>
      <c r="C78" t="s">
        <v>281</v>
      </c>
      <c r="D78" t="s">
        <v>71</v>
      </c>
      <c r="E78" t="s">
        <v>280</v>
      </c>
      <c r="F78" t="s">
        <v>200</v>
      </c>
      <c r="G78" t="s">
        <v>124</v>
      </c>
      <c r="H78" t="s">
        <v>125</v>
      </c>
      <c r="I78" t="s">
        <v>194</v>
      </c>
    </row>
    <row r="79" spans="1:9">
      <c r="A79" s="22">
        <v>45378</v>
      </c>
      <c r="B79" t="s">
        <v>170</v>
      </c>
      <c r="C79" t="s">
        <v>230</v>
      </c>
      <c r="D79" t="s">
        <v>71</v>
      </c>
      <c r="E79" t="s">
        <v>132</v>
      </c>
      <c r="F79" t="s">
        <v>200</v>
      </c>
      <c r="G79" t="s">
        <v>237</v>
      </c>
      <c r="H79" t="s">
        <v>125</v>
      </c>
      <c r="I79" t="s">
        <v>194</v>
      </c>
    </row>
    <row r="80" spans="1:9">
      <c r="A80" s="22">
        <v>45379</v>
      </c>
      <c r="B80" t="s">
        <v>126</v>
      </c>
      <c r="C80" t="s">
        <v>282</v>
      </c>
      <c r="D80" t="s">
        <v>211</v>
      </c>
      <c r="E80" t="s">
        <v>148</v>
      </c>
      <c r="F80" t="s">
        <v>129</v>
      </c>
      <c r="G80" t="s">
        <v>124</v>
      </c>
      <c r="H80" t="s">
        <v>125</v>
      </c>
      <c r="I80" t="s">
        <v>194</v>
      </c>
    </row>
    <row r="81" spans="1:9">
      <c r="A81" s="47">
        <v>45379</v>
      </c>
      <c r="B81" s="9" t="s">
        <v>168</v>
      </c>
      <c r="C81" s="9" t="s">
        <v>283</v>
      </c>
      <c r="D81" s="9" t="s">
        <v>211</v>
      </c>
      <c r="E81" s="9" t="s">
        <v>39</v>
      </c>
      <c r="F81" s="9" t="s">
        <v>123</v>
      </c>
      <c r="G81" s="9" t="s">
        <v>145</v>
      </c>
      <c r="H81" s="9" t="s">
        <v>152</v>
      </c>
      <c r="I81" s="9" t="s">
        <v>194</v>
      </c>
    </row>
    <row r="82" spans="1:9">
      <c r="A82" s="22">
        <v>45379</v>
      </c>
      <c r="B82" t="s">
        <v>284</v>
      </c>
      <c r="C82" t="s">
        <v>285</v>
      </c>
      <c r="D82" t="s">
        <v>178</v>
      </c>
      <c r="E82" t="s">
        <v>142</v>
      </c>
      <c r="F82" t="s">
        <v>286</v>
      </c>
      <c r="G82" t="s">
        <v>145</v>
      </c>
      <c r="H82" t="s">
        <v>152</v>
      </c>
    </row>
    <row r="83" spans="1:9">
      <c r="A83" s="22">
        <v>45379</v>
      </c>
      <c r="B83" t="s">
        <v>287</v>
      </c>
      <c r="C83" t="s">
        <v>181</v>
      </c>
      <c r="D83" t="s">
        <v>178</v>
      </c>
      <c r="E83" t="s">
        <v>182</v>
      </c>
      <c r="F83" t="s">
        <v>123</v>
      </c>
      <c r="G83" t="s">
        <v>288</v>
      </c>
      <c r="H83" t="s">
        <v>152</v>
      </c>
      <c r="I83" t="s">
        <v>194</v>
      </c>
    </row>
    <row r="84" spans="1:9">
      <c r="A84" s="22">
        <v>45379</v>
      </c>
      <c r="B84" t="s">
        <v>170</v>
      </c>
      <c r="C84" t="s">
        <v>289</v>
      </c>
      <c r="D84" t="s">
        <v>290</v>
      </c>
      <c r="E84" t="s">
        <v>122</v>
      </c>
      <c r="F84" t="s">
        <v>123</v>
      </c>
      <c r="G84" t="s">
        <v>124</v>
      </c>
      <c r="H84" t="s">
        <v>125</v>
      </c>
      <c r="I84" t="s">
        <v>194</v>
      </c>
    </row>
    <row r="85" spans="1:9">
      <c r="A85" s="22">
        <v>45380</v>
      </c>
      <c r="B85" t="s">
        <v>221</v>
      </c>
      <c r="C85" t="s">
        <v>291</v>
      </c>
      <c r="D85" t="s">
        <v>211</v>
      </c>
      <c r="E85" t="s">
        <v>182</v>
      </c>
      <c r="F85" t="s">
        <v>123</v>
      </c>
      <c r="G85" t="s">
        <v>124</v>
      </c>
      <c r="H85" t="s">
        <v>155</v>
      </c>
      <c r="I85" t="s">
        <v>194</v>
      </c>
    </row>
    <row r="86" spans="1:9">
      <c r="A86" s="22">
        <v>45383</v>
      </c>
      <c r="B86" t="s">
        <v>292</v>
      </c>
      <c r="C86" t="s">
        <v>293</v>
      </c>
      <c r="D86" t="s">
        <v>224</v>
      </c>
      <c r="E86" t="s">
        <v>43</v>
      </c>
      <c r="F86" t="s">
        <v>200</v>
      </c>
      <c r="G86" t="s">
        <v>124</v>
      </c>
      <c r="H86" t="s">
        <v>125</v>
      </c>
      <c r="I86" t="s">
        <v>294</v>
      </c>
    </row>
    <row r="87" spans="1:9">
      <c r="A87" s="22">
        <v>45383</v>
      </c>
      <c r="B87" t="s">
        <v>267</v>
      </c>
      <c r="C87" t="s">
        <v>268</v>
      </c>
      <c r="D87" t="s">
        <v>295</v>
      </c>
      <c r="E87" t="s">
        <v>132</v>
      </c>
      <c r="F87" t="s">
        <v>296</v>
      </c>
      <c r="G87" t="s">
        <v>124</v>
      </c>
      <c r="H87" t="s">
        <v>155</v>
      </c>
      <c r="I87" t="s">
        <v>294</v>
      </c>
    </row>
    <row r="88" spans="1:9">
      <c r="A88" s="22">
        <v>45383</v>
      </c>
      <c r="B88" s="54" t="s">
        <v>297</v>
      </c>
      <c r="C88" t="s">
        <v>298</v>
      </c>
      <c r="D88" t="s">
        <v>299</v>
      </c>
      <c r="E88" t="s">
        <v>280</v>
      </c>
      <c r="F88" t="s">
        <v>200</v>
      </c>
      <c r="G88" t="s">
        <v>124</v>
      </c>
      <c r="H88" t="s">
        <v>155</v>
      </c>
      <c r="I88" t="s">
        <v>194</v>
      </c>
    </row>
    <row r="89" spans="1:9">
      <c r="A89" s="22">
        <v>45383</v>
      </c>
      <c r="B89" t="s">
        <v>239</v>
      </c>
      <c r="C89" t="s">
        <v>300</v>
      </c>
      <c r="D89" t="s">
        <v>185</v>
      </c>
      <c r="E89" t="s">
        <v>39</v>
      </c>
      <c r="F89" t="s">
        <v>301</v>
      </c>
      <c r="G89" t="s">
        <v>124</v>
      </c>
      <c r="H89" t="s">
        <v>125</v>
      </c>
      <c r="I89" t="s">
        <v>194</v>
      </c>
    </row>
    <row r="90" spans="1:9" s="9" customFormat="1">
      <c r="A90" s="47">
        <v>45383</v>
      </c>
      <c r="B90" s="9" t="s">
        <v>302</v>
      </c>
      <c r="C90" s="9" t="s">
        <v>303</v>
      </c>
      <c r="D90" s="9" t="s">
        <v>185</v>
      </c>
      <c r="E90" s="9" t="s">
        <v>122</v>
      </c>
      <c r="F90" s="9" t="s">
        <v>301</v>
      </c>
      <c r="G90" s="9" t="s">
        <v>124</v>
      </c>
      <c r="H90" s="9" t="s">
        <v>125</v>
      </c>
      <c r="I90" s="9" t="s">
        <v>194</v>
      </c>
    </row>
    <row r="91" spans="1:9" s="9" customFormat="1">
      <c r="A91" s="47">
        <v>45383</v>
      </c>
      <c r="B91" s="9" t="s">
        <v>304</v>
      </c>
      <c r="C91" s="9" t="s">
        <v>305</v>
      </c>
      <c r="D91" s="9" t="s">
        <v>172</v>
      </c>
      <c r="E91" s="9" t="s">
        <v>148</v>
      </c>
      <c r="F91" s="9" t="s">
        <v>306</v>
      </c>
      <c r="G91" s="9" t="s">
        <v>124</v>
      </c>
      <c r="H91" s="9" t="s">
        <v>161</v>
      </c>
      <c r="I91" s="9" t="s">
        <v>194</v>
      </c>
    </row>
    <row r="92" spans="1:9">
      <c r="A92" s="22">
        <v>45383</v>
      </c>
      <c r="B92" t="s">
        <v>207</v>
      </c>
      <c r="C92" t="s">
        <v>307</v>
      </c>
      <c r="D92" t="s">
        <v>178</v>
      </c>
      <c r="E92" t="s">
        <v>43</v>
      </c>
      <c r="F92" t="s">
        <v>200</v>
      </c>
      <c r="G92" t="s">
        <v>124</v>
      </c>
      <c r="H92" t="s">
        <v>125</v>
      </c>
      <c r="I92" t="s">
        <v>194</v>
      </c>
    </row>
    <row r="93" spans="1:9" s="9" customFormat="1">
      <c r="A93" s="47">
        <v>45383</v>
      </c>
      <c r="B93" s="9" t="s">
        <v>207</v>
      </c>
      <c r="C93" s="9" t="s">
        <v>308</v>
      </c>
      <c r="D93" s="9" t="s">
        <v>172</v>
      </c>
      <c r="E93" s="9" t="s">
        <v>196</v>
      </c>
      <c r="F93" s="9" t="s">
        <v>123</v>
      </c>
      <c r="G93" s="9" t="s">
        <v>124</v>
      </c>
      <c r="H93" s="9" t="s">
        <v>125</v>
      </c>
      <c r="I93" s="9" t="s">
        <v>309</v>
      </c>
    </row>
    <row r="94" spans="1:9">
      <c r="A94" s="22">
        <v>45383</v>
      </c>
      <c r="B94" t="s">
        <v>310</v>
      </c>
      <c r="C94" t="s">
        <v>311</v>
      </c>
      <c r="D94" t="s">
        <v>178</v>
      </c>
      <c r="E94" t="s">
        <v>312</v>
      </c>
      <c r="F94" t="s">
        <v>123</v>
      </c>
      <c r="G94" t="s">
        <v>124</v>
      </c>
      <c r="H94" t="s">
        <v>125</v>
      </c>
      <c r="I94" t="s">
        <v>309</v>
      </c>
    </row>
    <row r="95" spans="1:9">
      <c r="A95" s="22">
        <v>45383</v>
      </c>
      <c r="B95" t="s">
        <v>150</v>
      </c>
      <c r="C95" t="s">
        <v>127</v>
      </c>
      <c r="D95" t="s">
        <v>178</v>
      </c>
      <c r="E95" t="s">
        <v>39</v>
      </c>
      <c r="F95" t="s">
        <v>123</v>
      </c>
      <c r="G95" t="s">
        <v>313</v>
      </c>
      <c r="H95" t="s">
        <v>152</v>
      </c>
      <c r="I95" t="s">
        <v>194</v>
      </c>
    </row>
    <row r="96" spans="1:9">
      <c r="A96" s="22">
        <v>45383</v>
      </c>
      <c r="B96" t="s">
        <v>314</v>
      </c>
      <c r="C96" t="s">
        <v>311</v>
      </c>
      <c r="D96" t="s">
        <v>211</v>
      </c>
      <c r="E96" t="s">
        <v>196</v>
      </c>
      <c r="F96" t="s">
        <v>123</v>
      </c>
      <c r="G96" t="s">
        <v>124</v>
      </c>
      <c r="H96" t="s">
        <v>155</v>
      </c>
      <c r="I96" t="s">
        <v>194</v>
      </c>
    </row>
    <row r="97" spans="1:9">
      <c r="A97" s="22">
        <v>45383</v>
      </c>
      <c r="B97" t="s">
        <v>190</v>
      </c>
      <c r="C97" t="s">
        <v>289</v>
      </c>
      <c r="D97" t="s">
        <v>290</v>
      </c>
      <c r="E97" t="s">
        <v>122</v>
      </c>
      <c r="F97" t="s">
        <v>123</v>
      </c>
      <c r="G97" t="s">
        <v>313</v>
      </c>
      <c r="H97" t="s">
        <v>125</v>
      </c>
      <c r="I97" t="s">
        <v>194</v>
      </c>
    </row>
    <row r="98" spans="1:9">
      <c r="A98" s="22">
        <v>45383</v>
      </c>
      <c r="B98" t="s">
        <v>315</v>
      </c>
      <c r="C98" t="s">
        <v>308</v>
      </c>
      <c r="D98" t="s">
        <v>211</v>
      </c>
      <c r="E98" t="s">
        <v>312</v>
      </c>
      <c r="F98" t="s">
        <v>123</v>
      </c>
      <c r="G98" t="s">
        <v>124</v>
      </c>
      <c r="H98" t="s">
        <v>125</v>
      </c>
      <c r="I98" t="s">
        <v>194</v>
      </c>
    </row>
    <row r="99" spans="1:9">
      <c r="A99" s="22">
        <v>45384</v>
      </c>
      <c r="B99" t="s">
        <v>316</v>
      </c>
      <c r="C99" t="s">
        <v>303</v>
      </c>
      <c r="D99" t="s">
        <v>185</v>
      </c>
      <c r="E99" t="s">
        <v>122</v>
      </c>
      <c r="F99" t="s">
        <v>123</v>
      </c>
      <c r="G99" t="s">
        <v>247</v>
      </c>
      <c r="H99" t="s">
        <v>152</v>
      </c>
      <c r="I99" t="s">
        <v>194</v>
      </c>
    </row>
    <row r="100" spans="1:9">
      <c r="A100" s="22">
        <v>45384</v>
      </c>
      <c r="B100" t="s">
        <v>120</v>
      </c>
      <c r="C100" t="s">
        <v>317</v>
      </c>
      <c r="D100" t="s">
        <v>178</v>
      </c>
      <c r="E100" t="s">
        <v>142</v>
      </c>
      <c r="F100" t="s">
        <v>318</v>
      </c>
      <c r="G100" t="s">
        <v>124</v>
      </c>
      <c r="H100" t="s">
        <v>125</v>
      </c>
      <c r="I100" t="s">
        <v>194</v>
      </c>
    </row>
    <row r="101" spans="1:9">
      <c r="A101" s="22">
        <v>45384</v>
      </c>
      <c r="B101" t="s">
        <v>319</v>
      </c>
      <c r="C101" t="s">
        <v>320</v>
      </c>
      <c r="D101" t="s">
        <v>56</v>
      </c>
      <c r="E101" t="s">
        <v>39</v>
      </c>
      <c r="F101" t="s">
        <v>123</v>
      </c>
      <c r="G101" t="s">
        <v>124</v>
      </c>
      <c r="H101" t="s">
        <v>125</v>
      </c>
      <c r="I101" t="s">
        <v>227</v>
      </c>
    </row>
    <row r="102" spans="1:9">
      <c r="A102" s="22">
        <v>45384</v>
      </c>
      <c r="B102" t="s">
        <v>239</v>
      </c>
      <c r="C102" t="s">
        <v>293</v>
      </c>
      <c r="D102" t="s">
        <v>321</v>
      </c>
      <c r="E102" t="s">
        <v>43</v>
      </c>
      <c r="F102" t="s">
        <v>200</v>
      </c>
      <c r="G102" t="s">
        <v>124</v>
      </c>
      <c r="H102" t="s">
        <v>125</v>
      </c>
      <c r="I102" t="s">
        <v>194</v>
      </c>
    </row>
    <row r="103" spans="1:9">
      <c r="A103" s="22">
        <v>45384</v>
      </c>
      <c r="B103" t="s">
        <v>322</v>
      </c>
      <c r="C103" t="s">
        <v>323</v>
      </c>
      <c r="D103" t="s">
        <v>178</v>
      </c>
      <c r="E103" t="s">
        <v>324</v>
      </c>
      <c r="F103" t="s">
        <v>123</v>
      </c>
      <c r="G103" t="s">
        <v>124</v>
      </c>
      <c r="H103" t="s">
        <v>125</v>
      </c>
      <c r="I103" t="s">
        <v>194</v>
      </c>
    </row>
    <row r="104" spans="1:9" s="9" customFormat="1">
      <c r="A104" s="47">
        <v>45384</v>
      </c>
      <c r="B104" s="9" t="s">
        <v>190</v>
      </c>
      <c r="C104" s="9" t="s">
        <v>308</v>
      </c>
      <c r="D104" s="9" t="s">
        <v>56</v>
      </c>
      <c r="E104" s="9" t="s">
        <v>122</v>
      </c>
      <c r="F104" s="9" t="s">
        <v>123</v>
      </c>
      <c r="G104" s="9" t="s">
        <v>124</v>
      </c>
      <c r="H104" s="9" t="s">
        <v>125</v>
      </c>
      <c r="I104" s="9" t="s">
        <v>194</v>
      </c>
    </row>
    <row r="105" spans="1:9">
      <c r="A105" s="22">
        <v>45384</v>
      </c>
      <c r="B105" t="s">
        <v>315</v>
      </c>
      <c r="C105" t="s">
        <v>260</v>
      </c>
      <c r="D105" t="s">
        <v>185</v>
      </c>
      <c r="E105" t="s">
        <v>43</v>
      </c>
      <c r="F105" t="s">
        <v>200</v>
      </c>
      <c r="G105" t="s">
        <v>124</v>
      </c>
      <c r="H105" t="s">
        <v>125</v>
      </c>
      <c r="I105" t="s">
        <v>325</v>
      </c>
    </row>
    <row r="106" spans="1:9">
      <c r="A106" s="22">
        <v>45384</v>
      </c>
      <c r="B106" t="s">
        <v>315</v>
      </c>
      <c r="C106" t="s">
        <v>229</v>
      </c>
      <c r="D106" t="s">
        <v>211</v>
      </c>
      <c r="E106" t="s">
        <v>196</v>
      </c>
      <c r="F106" t="s">
        <v>123</v>
      </c>
      <c r="G106" t="s">
        <v>124</v>
      </c>
      <c r="H106" t="s">
        <v>125</v>
      </c>
      <c r="I106" t="s">
        <v>194</v>
      </c>
    </row>
    <row r="107" spans="1:9">
      <c r="A107" s="22">
        <v>45385</v>
      </c>
      <c r="B107" t="s">
        <v>146</v>
      </c>
      <c r="C107" t="s">
        <v>259</v>
      </c>
      <c r="D107" t="s">
        <v>326</v>
      </c>
      <c r="E107" t="s">
        <v>203</v>
      </c>
      <c r="F107" t="s">
        <v>123</v>
      </c>
      <c r="G107" t="s">
        <v>124</v>
      </c>
      <c r="H107" t="s">
        <v>125</v>
      </c>
      <c r="I107" t="s">
        <v>194</v>
      </c>
    </row>
    <row r="108" spans="1:9" s="9" customFormat="1">
      <c r="A108" s="47">
        <v>45385</v>
      </c>
      <c r="B108" s="9" t="s">
        <v>327</v>
      </c>
      <c r="C108" s="9" t="s">
        <v>328</v>
      </c>
      <c r="D108" s="9" t="s">
        <v>329</v>
      </c>
      <c r="E108" s="9" t="s">
        <v>196</v>
      </c>
      <c r="F108" s="9" t="s">
        <v>123</v>
      </c>
      <c r="G108" s="9" t="s">
        <v>124</v>
      </c>
      <c r="H108" s="9" t="s">
        <v>125</v>
      </c>
      <c r="I108" s="9" t="s">
        <v>194</v>
      </c>
    </row>
    <row r="109" spans="1:9">
      <c r="A109" s="22">
        <v>45385</v>
      </c>
      <c r="B109" t="s">
        <v>330</v>
      </c>
      <c r="C109" t="s">
        <v>331</v>
      </c>
      <c r="D109" t="s">
        <v>178</v>
      </c>
      <c r="E109" t="s">
        <v>122</v>
      </c>
      <c r="F109" t="s">
        <v>123</v>
      </c>
      <c r="G109" t="s">
        <v>145</v>
      </c>
      <c r="H109" t="s">
        <v>332</v>
      </c>
      <c r="I109" t="s">
        <v>194</v>
      </c>
    </row>
    <row r="110" spans="1:9" s="39" customFormat="1">
      <c r="A110" s="46">
        <v>45385</v>
      </c>
      <c r="B110" s="39" t="s">
        <v>130</v>
      </c>
      <c r="C110" s="39" t="s">
        <v>333</v>
      </c>
      <c r="D110" s="39" t="s">
        <v>36</v>
      </c>
      <c r="E110" s="39" t="s">
        <v>142</v>
      </c>
      <c r="F110" s="39" t="s">
        <v>334</v>
      </c>
      <c r="G110" s="39" t="s">
        <v>301</v>
      </c>
      <c r="H110" s="39" t="s">
        <v>125</v>
      </c>
      <c r="I110" s="39" t="s">
        <v>194</v>
      </c>
    </row>
    <row r="111" spans="1:9">
      <c r="A111" s="22">
        <v>45385</v>
      </c>
      <c r="B111" t="s">
        <v>273</v>
      </c>
      <c r="C111" t="s">
        <v>335</v>
      </c>
      <c r="D111" t="s">
        <v>178</v>
      </c>
      <c r="E111" t="s">
        <v>132</v>
      </c>
      <c r="F111" t="s">
        <v>123</v>
      </c>
      <c r="G111" t="s">
        <v>124</v>
      </c>
      <c r="H111" t="s">
        <v>152</v>
      </c>
      <c r="I111" t="s">
        <v>194</v>
      </c>
    </row>
    <row r="112" spans="1:9" s="9" customFormat="1">
      <c r="A112" s="47">
        <v>45385</v>
      </c>
      <c r="B112" s="9" t="s">
        <v>190</v>
      </c>
      <c r="C112" s="9" t="s">
        <v>336</v>
      </c>
      <c r="D112" s="9" t="s">
        <v>185</v>
      </c>
      <c r="E112" s="9" t="s">
        <v>312</v>
      </c>
      <c r="F112" s="9" t="s">
        <v>123</v>
      </c>
      <c r="G112" s="9" t="s">
        <v>301</v>
      </c>
      <c r="H112" s="9" t="s">
        <v>125</v>
      </c>
      <c r="I112" s="9" t="s">
        <v>194</v>
      </c>
    </row>
    <row r="113" spans="1:18">
      <c r="A113" s="22">
        <v>45385</v>
      </c>
      <c r="B113" t="s">
        <v>337</v>
      </c>
      <c r="D113" t="s">
        <v>269</v>
      </c>
      <c r="E113" t="s">
        <v>203</v>
      </c>
      <c r="F113" t="s">
        <v>123</v>
      </c>
      <c r="G113" t="s">
        <v>124</v>
      </c>
      <c r="H113" t="s">
        <v>125</v>
      </c>
      <c r="I113" t="s">
        <v>194</v>
      </c>
    </row>
    <row r="114" spans="1:18">
      <c r="A114" s="22">
        <v>45385</v>
      </c>
      <c r="B114" t="s">
        <v>252</v>
      </c>
      <c r="C114" t="s">
        <v>229</v>
      </c>
      <c r="D114" t="s">
        <v>211</v>
      </c>
      <c r="E114" t="s">
        <v>122</v>
      </c>
      <c r="F114" t="s">
        <v>123</v>
      </c>
      <c r="G114" t="s">
        <v>124</v>
      </c>
      <c r="H114" t="s">
        <v>125</v>
      </c>
      <c r="I114" t="s">
        <v>194</v>
      </c>
    </row>
    <row r="115" spans="1:18">
      <c r="A115" s="22">
        <v>45386</v>
      </c>
      <c r="B115" t="s">
        <v>338</v>
      </c>
      <c r="D115" t="s">
        <v>269</v>
      </c>
      <c r="E115" t="s">
        <v>203</v>
      </c>
      <c r="F115" t="s">
        <v>123</v>
      </c>
      <c r="G115" t="s">
        <v>124</v>
      </c>
      <c r="H115" t="s">
        <v>155</v>
      </c>
      <c r="I115" t="s">
        <v>194</v>
      </c>
    </row>
    <row r="116" spans="1:18" s="9" customFormat="1">
      <c r="A116" s="47">
        <v>45386</v>
      </c>
      <c r="B116" s="9" t="s">
        <v>253</v>
      </c>
      <c r="C116" s="9" t="s">
        <v>339</v>
      </c>
      <c r="D116" s="9" t="s">
        <v>211</v>
      </c>
      <c r="E116" s="9" t="s">
        <v>196</v>
      </c>
      <c r="F116" s="9" t="s">
        <v>340</v>
      </c>
      <c r="G116" t="s">
        <v>124</v>
      </c>
      <c r="H116" s="9" t="s">
        <v>161</v>
      </c>
      <c r="I116" s="9" t="s">
        <v>194</v>
      </c>
    </row>
    <row r="117" spans="1:18">
      <c r="A117" s="22">
        <v>45386</v>
      </c>
      <c r="B117" t="s">
        <v>134</v>
      </c>
      <c r="C117" t="s">
        <v>341</v>
      </c>
      <c r="D117" t="s">
        <v>185</v>
      </c>
      <c r="E117" t="s">
        <v>43</v>
      </c>
      <c r="F117" t="s">
        <v>200</v>
      </c>
      <c r="G117" t="s">
        <v>124</v>
      </c>
      <c r="H117" t="s">
        <v>125</v>
      </c>
      <c r="I117" t="s">
        <v>342</v>
      </c>
      <c r="J117" t="s">
        <v>343</v>
      </c>
    </row>
    <row r="118" spans="1:18" s="9" customFormat="1">
      <c r="A118" s="47">
        <v>45386</v>
      </c>
      <c r="B118" s="9" t="s">
        <v>344</v>
      </c>
      <c r="C118" s="9" t="s">
        <v>345</v>
      </c>
      <c r="D118" s="9" t="s">
        <v>185</v>
      </c>
      <c r="E118" s="9" t="s">
        <v>203</v>
      </c>
      <c r="F118" s="9" t="s">
        <v>123</v>
      </c>
      <c r="G118" s="9" t="s">
        <v>124</v>
      </c>
      <c r="H118" s="9" t="s">
        <v>161</v>
      </c>
      <c r="I118" s="9" t="s">
        <v>194</v>
      </c>
    </row>
    <row r="119" spans="1:18">
      <c r="A119" s="22">
        <v>45386</v>
      </c>
      <c r="B119" t="s">
        <v>146</v>
      </c>
      <c r="C119" t="s">
        <v>346</v>
      </c>
      <c r="D119" t="s">
        <v>172</v>
      </c>
      <c r="E119" t="s">
        <v>132</v>
      </c>
      <c r="F119" t="s">
        <v>123</v>
      </c>
      <c r="G119" t="s">
        <v>137</v>
      </c>
      <c r="H119" t="s">
        <v>125</v>
      </c>
      <c r="I119" t="s">
        <v>194</v>
      </c>
    </row>
    <row r="120" spans="1:18">
      <c r="A120" s="22">
        <v>45386</v>
      </c>
      <c r="B120" t="s">
        <v>207</v>
      </c>
      <c r="D120" t="s">
        <v>347</v>
      </c>
      <c r="E120" t="s">
        <v>203</v>
      </c>
      <c r="F120" t="s">
        <v>123</v>
      </c>
      <c r="G120" t="s">
        <v>137</v>
      </c>
      <c r="H120" t="s">
        <v>125</v>
      </c>
      <c r="I120" t="s">
        <v>194</v>
      </c>
    </row>
    <row r="121" spans="1:18" s="42" customFormat="1">
      <c r="A121" s="55">
        <v>45386</v>
      </c>
      <c r="B121" s="42" t="s">
        <v>168</v>
      </c>
      <c r="C121" s="42" t="s">
        <v>274</v>
      </c>
      <c r="D121" s="42" t="s">
        <v>178</v>
      </c>
      <c r="E121" s="42" t="s">
        <v>122</v>
      </c>
      <c r="F121" s="42" t="s">
        <v>123</v>
      </c>
      <c r="G121" s="42" t="s">
        <v>124</v>
      </c>
      <c r="H121" s="42" t="s">
        <v>152</v>
      </c>
      <c r="I121" s="42" t="s">
        <v>194</v>
      </c>
    </row>
    <row r="122" spans="1:18">
      <c r="A122" s="22">
        <v>45386</v>
      </c>
      <c r="B122" t="s">
        <v>130</v>
      </c>
      <c r="C122" t="s">
        <v>348</v>
      </c>
      <c r="D122" t="s">
        <v>178</v>
      </c>
      <c r="E122" t="s">
        <v>132</v>
      </c>
      <c r="F122" t="s">
        <v>123</v>
      </c>
      <c r="G122" t="s">
        <v>124</v>
      </c>
      <c r="H122" t="s">
        <v>125</v>
      </c>
      <c r="I122" t="s">
        <v>194</v>
      </c>
      <c r="Q122">
        <v>11000</v>
      </c>
      <c r="R122">
        <v>60000</v>
      </c>
    </row>
    <row r="123" spans="1:18">
      <c r="A123" s="22">
        <v>45386</v>
      </c>
      <c r="B123" t="s">
        <v>315</v>
      </c>
      <c r="C123" t="s">
        <v>349</v>
      </c>
      <c r="D123" t="s">
        <v>36</v>
      </c>
      <c r="E123" t="s">
        <v>122</v>
      </c>
      <c r="F123" t="s">
        <v>350</v>
      </c>
      <c r="G123" t="s">
        <v>124</v>
      </c>
      <c r="H123" t="s">
        <v>125</v>
      </c>
      <c r="I123" t="s">
        <v>351</v>
      </c>
      <c r="Q123">
        <v>36000</v>
      </c>
      <c r="R123">
        <v>35000</v>
      </c>
    </row>
    <row r="124" spans="1:18" s="9" customFormat="1">
      <c r="A124" s="47">
        <v>45386</v>
      </c>
      <c r="B124" s="9" t="s">
        <v>315</v>
      </c>
      <c r="D124" s="9" t="s">
        <v>329</v>
      </c>
      <c r="E124" s="9" t="s">
        <v>132</v>
      </c>
      <c r="F124" s="9" t="s">
        <v>200</v>
      </c>
      <c r="G124" s="9" t="s">
        <v>124</v>
      </c>
      <c r="H124" s="9" t="s">
        <v>125</v>
      </c>
      <c r="I124" s="9" t="s">
        <v>352</v>
      </c>
    </row>
    <row r="125" spans="1:18" s="9" customFormat="1">
      <c r="A125" s="47">
        <v>45386</v>
      </c>
      <c r="B125" s="9" t="s">
        <v>353</v>
      </c>
      <c r="C125" s="9" t="s">
        <v>354</v>
      </c>
      <c r="D125" s="9" t="s">
        <v>178</v>
      </c>
      <c r="E125" s="9" t="s">
        <v>43</v>
      </c>
      <c r="F125" s="9" t="s">
        <v>200</v>
      </c>
      <c r="H125" s="9" t="s">
        <v>161</v>
      </c>
      <c r="I125" s="9" t="s">
        <v>194</v>
      </c>
    </row>
    <row r="126" spans="1:18">
      <c r="A126" s="22">
        <v>45390</v>
      </c>
      <c r="B126" t="s">
        <v>262</v>
      </c>
      <c r="C126" t="s">
        <v>355</v>
      </c>
      <c r="D126" t="s">
        <v>172</v>
      </c>
      <c r="E126" t="s">
        <v>312</v>
      </c>
      <c r="F126" t="s">
        <v>123</v>
      </c>
      <c r="G126" t="s">
        <v>124</v>
      </c>
      <c r="H126" t="s">
        <v>125</v>
      </c>
      <c r="I126" t="s">
        <v>356</v>
      </c>
    </row>
    <row r="127" spans="1:18" s="9" customFormat="1">
      <c r="A127" s="47">
        <v>45390</v>
      </c>
      <c r="B127" s="9" t="s">
        <v>120</v>
      </c>
      <c r="C127" s="9" t="s">
        <v>357</v>
      </c>
      <c r="D127" s="9" t="s">
        <v>185</v>
      </c>
      <c r="E127" s="9" t="s">
        <v>122</v>
      </c>
      <c r="F127" s="9" t="s">
        <v>358</v>
      </c>
      <c r="G127" s="9" t="s">
        <v>124</v>
      </c>
      <c r="H127" s="9" t="s">
        <v>125</v>
      </c>
      <c r="I127" s="9" t="s">
        <v>166</v>
      </c>
    </row>
    <row r="128" spans="1:18" s="9" customFormat="1">
      <c r="A128" s="47">
        <v>45390</v>
      </c>
      <c r="B128" s="9" t="s">
        <v>120</v>
      </c>
      <c r="C128" s="9" t="s">
        <v>191</v>
      </c>
      <c r="D128" s="9" t="s">
        <v>172</v>
      </c>
      <c r="E128" s="9" t="s">
        <v>196</v>
      </c>
      <c r="F128" s="9" t="s">
        <v>359</v>
      </c>
      <c r="G128" s="9" t="s">
        <v>124</v>
      </c>
      <c r="H128" s="9" t="s">
        <v>125</v>
      </c>
      <c r="I128" s="9" t="s">
        <v>166</v>
      </c>
    </row>
    <row r="129" spans="1:10" s="9" customFormat="1">
      <c r="A129" s="47">
        <v>45390</v>
      </c>
      <c r="B129" s="9" t="s">
        <v>168</v>
      </c>
      <c r="C129" s="9" t="s">
        <v>305</v>
      </c>
      <c r="D129" s="9" t="s">
        <v>172</v>
      </c>
      <c r="E129" s="9" t="s">
        <v>148</v>
      </c>
      <c r="F129" s="9" t="s">
        <v>129</v>
      </c>
      <c r="G129" s="9" t="s">
        <v>145</v>
      </c>
      <c r="H129" s="9" t="s">
        <v>152</v>
      </c>
      <c r="I129" s="9" t="s">
        <v>194</v>
      </c>
    </row>
    <row r="130" spans="1:10">
      <c r="A130" s="22">
        <v>45390</v>
      </c>
      <c r="B130" t="s">
        <v>150</v>
      </c>
      <c r="C130" t="s">
        <v>360</v>
      </c>
      <c r="D130" t="s">
        <v>172</v>
      </c>
      <c r="E130" t="s">
        <v>203</v>
      </c>
      <c r="F130" t="s">
        <v>361</v>
      </c>
      <c r="G130" t="s">
        <v>362</v>
      </c>
      <c r="H130" t="s">
        <v>152</v>
      </c>
      <c r="I130" t="s">
        <v>363</v>
      </c>
    </row>
    <row r="131" spans="1:10">
      <c r="A131" s="22">
        <v>45390</v>
      </c>
      <c r="B131" t="s">
        <v>364</v>
      </c>
      <c r="C131" s="51" t="s">
        <v>365</v>
      </c>
      <c r="D131" t="s">
        <v>211</v>
      </c>
      <c r="E131" t="s">
        <v>43</v>
      </c>
      <c r="F131" t="s">
        <v>200</v>
      </c>
      <c r="G131" t="s">
        <v>362</v>
      </c>
      <c r="H131" t="s">
        <v>161</v>
      </c>
      <c r="I131" t="s">
        <v>366</v>
      </c>
    </row>
    <row r="132" spans="1:10">
      <c r="A132" s="22">
        <v>45390</v>
      </c>
      <c r="B132" t="s">
        <v>367</v>
      </c>
      <c r="C132" t="s">
        <v>259</v>
      </c>
      <c r="D132" t="s">
        <v>172</v>
      </c>
      <c r="E132" t="s">
        <v>196</v>
      </c>
      <c r="F132" t="s">
        <v>136</v>
      </c>
      <c r="G132" t="s">
        <v>313</v>
      </c>
      <c r="H132" t="s">
        <v>152</v>
      </c>
      <c r="I132" t="s">
        <v>194</v>
      </c>
    </row>
    <row r="133" spans="1:10" s="42" customFormat="1">
      <c r="A133" s="55">
        <v>45390</v>
      </c>
      <c r="B133" s="42" t="s">
        <v>368</v>
      </c>
      <c r="C133" s="42" t="s">
        <v>369</v>
      </c>
      <c r="D133" s="42" t="s">
        <v>178</v>
      </c>
      <c r="E133" s="42" t="s">
        <v>43</v>
      </c>
      <c r="F133" s="42" t="s">
        <v>200</v>
      </c>
      <c r="G133" s="42" t="s">
        <v>362</v>
      </c>
      <c r="H133" s="42" t="s">
        <v>161</v>
      </c>
      <c r="I133" s="42" t="s">
        <v>166</v>
      </c>
    </row>
    <row r="134" spans="1:10">
      <c r="A134" s="22">
        <v>45390</v>
      </c>
      <c r="B134" t="s">
        <v>146</v>
      </c>
      <c r="C134" t="s">
        <v>370</v>
      </c>
      <c r="D134" t="s">
        <v>371</v>
      </c>
      <c r="E134" t="s">
        <v>203</v>
      </c>
      <c r="F134" t="s">
        <v>372</v>
      </c>
      <c r="G134" t="s">
        <v>248</v>
      </c>
      <c r="I134" t="s">
        <v>162</v>
      </c>
    </row>
    <row r="135" spans="1:10">
      <c r="A135" s="22">
        <v>45390</v>
      </c>
      <c r="B135" t="s">
        <v>207</v>
      </c>
      <c r="C135" t="s">
        <v>373</v>
      </c>
      <c r="D135" t="s">
        <v>329</v>
      </c>
      <c r="E135" t="s">
        <v>132</v>
      </c>
      <c r="F135" t="s">
        <v>123</v>
      </c>
      <c r="G135" t="s">
        <v>124</v>
      </c>
      <c r="H135" t="s">
        <v>125</v>
      </c>
      <c r="I135" t="s">
        <v>166</v>
      </c>
    </row>
    <row r="136" spans="1:10">
      <c r="A136" s="22">
        <v>45390</v>
      </c>
      <c r="B136" t="s">
        <v>315</v>
      </c>
      <c r="C136" t="s">
        <v>374</v>
      </c>
      <c r="D136" t="s">
        <v>375</v>
      </c>
      <c r="E136" t="s">
        <v>132</v>
      </c>
      <c r="F136" t="s">
        <v>200</v>
      </c>
      <c r="G136" t="s">
        <v>124</v>
      </c>
      <c r="H136" t="s">
        <v>125</v>
      </c>
      <c r="I136" t="s">
        <v>194</v>
      </c>
      <c r="J136" t="s">
        <v>376</v>
      </c>
    </row>
    <row r="137" spans="1:10" s="9" customFormat="1">
      <c r="A137" s="47">
        <v>45391</v>
      </c>
      <c r="B137" s="9" t="s">
        <v>377</v>
      </c>
      <c r="C137" s="56" t="s">
        <v>378</v>
      </c>
      <c r="D137" s="9" t="s">
        <v>379</v>
      </c>
      <c r="E137" s="9" t="s">
        <v>380</v>
      </c>
      <c r="F137" s="9" t="s">
        <v>123</v>
      </c>
      <c r="G137" s="9" t="s">
        <v>137</v>
      </c>
      <c r="H137" s="9" t="s">
        <v>125</v>
      </c>
      <c r="I137" s="9" t="s">
        <v>166</v>
      </c>
      <c r="J137" s="9" t="s">
        <v>381</v>
      </c>
    </row>
    <row r="138" spans="1:10">
      <c r="A138" s="22">
        <v>45391</v>
      </c>
      <c r="B138" t="s">
        <v>262</v>
      </c>
      <c r="C138" t="s">
        <v>382</v>
      </c>
      <c r="D138" t="s">
        <v>383</v>
      </c>
      <c r="E138" t="s">
        <v>182</v>
      </c>
      <c r="F138" t="s">
        <v>123</v>
      </c>
      <c r="G138" t="s">
        <v>137</v>
      </c>
      <c r="H138" t="s">
        <v>125</v>
      </c>
      <c r="I138" t="s">
        <v>384</v>
      </c>
      <c r="J138" t="s">
        <v>385</v>
      </c>
    </row>
    <row r="139" spans="1:10">
      <c r="A139" s="22">
        <v>45391</v>
      </c>
      <c r="B139" t="s">
        <v>386</v>
      </c>
      <c r="C139" t="s">
        <v>387</v>
      </c>
      <c r="D139" s="18" t="s">
        <v>388</v>
      </c>
      <c r="E139" t="s">
        <v>203</v>
      </c>
      <c r="F139" t="s">
        <v>123</v>
      </c>
      <c r="G139" t="s">
        <v>137</v>
      </c>
      <c r="H139" t="s">
        <v>161</v>
      </c>
      <c r="I139" t="s">
        <v>384</v>
      </c>
      <c r="J139" t="s">
        <v>389</v>
      </c>
    </row>
    <row r="140" spans="1:10">
      <c r="A140" s="22">
        <v>45391</v>
      </c>
      <c r="B140" t="s">
        <v>120</v>
      </c>
      <c r="C140" t="s">
        <v>390</v>
      </c>
      <c r="I140" t="s">
        <v>391</v>
      </c>
    </row>
    <row r="141" spans="1:10">
      <c r="A141" s="22">
        <v>45391</v>
      </c>
      <c r="B141" t="s">
        <v>392</v>
      </c>
      <c r="C141" t="s">
        <v>393</v>
      </c>
      <c r="D141" t="s">
        <v>290</v>
      </c>
      <c r="E141" t="s">
        <v>394</v>
      </c>
      <c r="F141" t="s">
        <v>395</v>
      </c>
      <c r="G141" t="s">
        <v>396</v>
      </c>
      <c r="H141" t="s">
        <v>397</v>
      </c>
      <c r="I141" t="s">
        <v>384</v>
      </c>
    </row>
    <row r="142" spans="1:10">
      <c r="A142" s="22">
        <v>45391</v>
      </c>
      <c r="B142" t="s">
        <v>273</v>
      </c>
      <c r="C142" t="s">
        <v>398</v>
      </c>
      <c r="D142" t="s">
        <v>399</v>
      </c>
      <c r="E142" t="s">
        <v>400</v>
      </c>
      <c r="F142" t="s">
        <v>401</v>
      </c>
      <c r="G142" t="s">
        <v>313</v>
      </c>
      <c r="H142" t="s">
        <v>397</v>
      </c>
      <c r="I142" t="s">
        <v>366</v>
      </c>
    </row>
    <row r="143" spans="1:10" s="9" customFormat="1">
      <c r="A143" s="47">
        <v>45391</v>
      </c>
      <c r="B143" s="9" t="s">
        <v>402</v>
      </c>
      <c r="C143" s="9" t="s">
        <v>191</v>
      </c>
      <c r="D143" s="9" t="s">
        <v>172</v>
      </c>
      <c r="E143" s="9" t="s">
        <v>196</v>
      </c>
      <c r="F143" s="9" t="s">
        <v>359</v>
      </c>
      <c r="G143" s="9" t="s">
        <v>145</v>
      </c>
      <c r="H143" s="9" t="s">
        <v>161</v>
      </c>
      <c r="I143" s="9" t="s">
        <v>166</v>
      </c>
    </row>
    <row r="144" spans="1:10">
      <c r="A144" s="22">
        <v>45397</v>
      </c>
      <c r="B144" t="s">
        <v>134</v>
      </c>
      <c r="C144" t="s">
        <v>403</v>
      </c>
      <c r="D144" t="s">
        <v>172</v>
      </c>
      <c r="E144" t="s">
        <v>196</v>
      </c>
      <c r="F144" t="s">
        <v>404</v>
      </c>
      <c r="G144" t="s">
        <v>145</v>
      </c>
      <c r="H144" t="s">
        <v>125</v>
      </c>
      <c r="I144" t="s">
        <v>166</v>
      </c>
    </row>
    <row r="145" spans="1:9">
      <c r="A145" s="22">
        <v>45397</v>
      </c>
      <c r="B145" t="s">
        <v>344</v>
      </c>
      <c r="C145" t="s">
        <v>405</v>
      </c>
      <c r="D145" t="s">
        <v>211</v>
      </c>
      <c r="E145" t="s">
        <v>142</v>
      </c>
      <c r="F145" t="s">
        <v>406</v>
      </c>
      <c r="G145" t="s">
        <v>145</v>
      </c>
      <c r="H145" t="s">
        <v>161</v>
      </c>
      <c r="I145" t="s">
        <v>166</v>
      </c>
    </row>
    <row r="146" spans="1:9" s="9" customFormat="1">
      <c r="A146" s="47">
        <v>45397</v>
      </c>
      <c r="B146" s="9" t="s">
        <v>120</v>
      </c>
      <c r="C146" s="9" t="s">
        <v>407</v>
      </c>
      <c r="D146" s="9" t="s">
        <v>211</v>
      </c>
      <c r="E146" s="9" t="s">
        <v>312</v>
      </c>
      <c r="F146" s="9" t="s">
        <v>123</v>
      </c>
      <c r="G146" s="9" t="s">
        <v>124</v>
      </c>
      <c r="H146" s="9" t="s">
        <v>125</v>
      </c>
      <c r="I146" s="9" t="s">
        <v>166</v>
      </c>
    </row>
    <row r="147" spans="1:9">
      <c r="A147" s="22">
        <v>45397</v>
      </c>
      <c r="B147" t="s">
        <v>168</v>
      </c>
      <c r="C147" t="s">
        <v>336</v>
      </c>
      <c r="D147" t="s">
        <v>185</v>
      </c>
      <c r="E147" t="s">
        <v>312</v>
      </c>
      <c r="F147" t="s">
        <v>123</v>
      </c>
      <c r="G147" t="s">
        <v>408</v>
      </c>
      <c r="H147" t="s">
        <v>152</v>
      </c>
      <c r="I147" t="s">
        <v>384</v>
      </c>
    </row>
    <row r="148" spans="1:9">
      <c r="A148" s="22">
        <v>45397</v>
      </c>
      <c r="B148" t="s">
        <v>310</v>
      </c>
      <c r="C148" t="s">
        <v>409</v>
      </c>
      <c r="D148" t="s">
        <v>172</v>
      </c>
      <c r="E148" t="s">
        <v>196</v>
      </c>
      <c r="F148" t="s">
        <v>410</v>
      </c>
      <c r="G148" t="s">
        <v>124</v>
      </c>
      <c r="H148" t="s">
        <v>155</v>
      </c>
      <c r="I148" t="s">
        <v>166</v>
      </c>
    </row>
    <row r="149" spans="1:9" s="9" customFormat="1">
      <c r="A149" s="47">
        <v>45397</v>
      </c>
      <c r="B149" s="9" t="s">
        <v>130</v>
      </c>
      <c r="C149" s="9" t="s">
        <v>411</v>
      </c>
      <c r="D149" s="9" t="s">
        <v>211</v>
      </c>
      <c r="E149" s="9" t="s">
        <v>412</v>
      </c>
      <c r="F149" s="9" t="s">
        <v>200</v>
      </c>
      <c r="G149" s="9" t="s">
        <v>124</v>
      </c>
      <c r="H149" s="9" t="s">
        <v>125</v>
      </c>
      <c r="I149" s="9" t="s">
        <v>166</v>
      </c>
    </row>
    <row r="150" spans="1:9" s="9" customFormat="1">
      <c r="A150" s="47">
        <v>45397</v>
      </c>
      <c r="B150" s="9" t="s">
        <v>213</v>
      </c>
      <c r="C150" s="9" t="s">
        <v>413</v>
      </c>
      <c r="D150" s="9" t="s">
        <v>185</v>
      </c>
      <c r="E150" s="9" t="s">
        <v>196</v>
      </c>
      <c r="F150" s="9" t="s">
        <v>123</v>
      </c>
      <c r="I150" s="9" t="s">
        <v>414</v>
      </c>
    </row>
    <row r="151" spans="1:9" s="9" customFormat="1">
      <c r="A151" s="47">
        <v>45397</v>
      </c>
      <c r="B151" s="9" t="s">
        <v>190</v>
      </c>
      <c r="C151" s="9" t="s">
        <v>415</v>
      </c>
      <c r="D151" s="9" t="s">
        <v>211</v>
      </c>
      <c r="E151" s="9" t="s">
        <v>142</v>
      </c>
      <c r="F151" s="9" t="s">
        <v>406</v>
      </c>
      <c r="G151" s="9" t="s">
        <v>124</v>
      </c>
      <c r="H151" s="9" t="s">
        <v>125</v>
      </c>
      <c r="I151" s="9" t="s">
        <v>166</v>
      </c>
    </row>
    <row r="152" spans="1:9" s="9" customFormat="1">
      <c r="A152" s="47">
        <v>45397</v>
      </c>
      <c r="B152" s="9" t="s">
        <v>239</v>
      </c>
      <c r="C152" s="9" t="s">
        <v>416</v>
      </c>
      <c r="D152" s="9" t="s">
        <v>178</v>
      </c>
      <c r="E152" s="9" t="s">
        <v>203</v>
      </c>
      <c r="F152" s="9" t="s">
        <v>123</v>
      </c>
      <c r="G152" s="9" t="s">
        <v>124</v>
      </c>
      <c r="H152" s="9" t="s">
        <v>125</v>
      </c>
    </row>
    <row r="153" spans="1:9" s="9" customFormat="1">
      <c r="A153" s="47">
        <v>45397</v>
      </c>
      <c r="B153" s="9" t="s">
        <v>242</v>
      </c>
      <c r="C153" s="9" t="s">
        <v>369</v>
      </c>
      <c r="D153" s="9" t="s">
        <v>178</v>
      </c>
      <c r="E153" s="9" t="s">
        <v>43</v>
      </c>
      <c r="F153" s="9" t="s">
        <v>200</v>
      </c>
      <c r="G153" s="9" t="s">
        <v>417</v>
      </c>
      <c r="I153" s="9" t="s">
        <v>166</v>
      </c>
    </row>
    <row r="154" spans="1:9">
      <c r="A154" s="22">
        <v>45397</v>
      </c>
      <c r="B154" t="s">
        <v>213</v>
      </c>
      <c r="C154" t="s">
        <v>418</v>
      </c>
      <c r="D154" t="s">
        <v>178</v>
      </c>
      <c r="E154" t="s">
        <v>312</v>
      </c>
      <c r="F154" t="s">
        <v>123</v>
      </c>
      <c r="G154" t="s">
        <v>124</v>
      </c>
      <c r="H154" t="s">
        <v>125</v>
      </c>
      <c r="I154" t="s">
        <v>166</v>
      </c>
    </row>
    <row r="155" spans="1:9">
      <c r="A155" s="22">
        <v>45397</v>
      </c>
      <c r="B155" t="s">
        <v>190</v>
      </c>
      <c r="D155" t="s">
        <v>329</v>
      </c>
      <c r="E155" t="s">
        <v>419</v>
      </c>
      <c r="F155" t="s">
        <v>123</v>
      </c>
      <c r="G155" t="s">
        <v>124</v>
      </c>
      <c r="H155" t="s">
        <v>125</v>
      </c>
      <c r="I155" t="s">
        <v>166</v>
      </c>
    </row>
    <row r="156" spans="1:9" s="9" customFormat="1">
      <c r="A156" s="47">
        <v>45398</v>
      </c>
      <c r="B156" s="9" t="s">
        <v>420</v>
      </c>
      <c r="C156" s="9" t="s">
        <v>421</v>
      </c>
      <c r="D156" s="9" t="s">
        <v>185</v>
      </c>
      <c r="E156" s="9" t="s">
        <v>43</v>
      </c>
      <c r="F156" s="9" t="s">
        <v>200</v>
      </c>
      <c r="G156" s="9" t="s">
        <v>422</v>
      </c>
      <c r="H156" s="9" t="s">
        <v>155</v>
      </c>
      <c r="I156" s="9" t="s">
        <v>166</v>
      </c>
    </row>
    <row r="157" spans="1:9">
      <c r="A157" s="22">
        <v>45398</v>
      </c>
      <c r="B157" t="s">
        <v>207</v>
      </c>
      <c r="C157" t="s">
        <v>423</v>
      </c>
      <c r="D157" t="s">
        <v>424</v>
      </c>
      <c r="E157" t="s">
        <v>196</v>
      </c>
      <c r="F157" t="s">
        <v>123</v>
      </c>
      <c r="G157" t="s">
        <v>422</v>
      </c>
      <c r="H157" t="s">
        <v>125</v>
      </c>
      <c r="I157" t="s">
        <v>425</v>
      </c>
    </row>
    <row r="158" spans="1:9">
      <c r="A158" s="22">
        <v>45398</v>
      </c>
      <c r="B158" t="s">
        <v>273</v>
      </c>
      <c r="C158" t="s">
        <v>357</v>
      </c>
      <c r="D158" t="s">
        <v>185</v>
      </c>
      <c r="E158" t="s">
        <v>122</v>
      </c>
      <c r="F158" t="s">
        <v>358</v>
      </c>
      <c r="G158" t="s">
        <v>417</v>
      </c>
      <c r="H158" t="s">
        <v>152</v>
      </c>
      <c r="I158" t="s">
        <v>384</v>
      </c>
    </row>
    <row r="159" spans="1:9">
      <c r="A159" s="22">
        <v>45398</v>
      </c>
      <c r="B159" t="s">
        <v>426</v>
      </c>
      <c r="C159" t="s">
        <v>229</v>
      </c>
      <c r="D159" t="s">
        <v>211</v>
      </c>
      <c r="E159" t="s">
        <v>196</v>
      </c>
      <c r="F159" t="s">
        <v>123</v>
      </c>
      <c r="G159" t="s">
        <v>124</v>
      </c>
      <c r="H159" t="s">
        <v>125</v>
      </c>
      <c r="I159" t="s">
        <v>194</v>
      </c>
    </row>
    <row r="160" spans="1:9">
      <c r="A160" s="22">
        <v>45398</v>
      </c>
      <c r="B160" t="s">
        <v>427</v>
      </c>
      <c r="C160" t="s">
        <v>229</v>
      </c>
      <c r="D160" t="s">
        <v>424</v>
      </c>
      <c r="E160" t="s">
        <v>428</v>
      </c>
      <c r="F160" t="s">
        <v>123</v>
      </c>
      <c r="G160" t="s">
        <v>124</v>
      </c>
      <c r="H160" t="s">
        <v>125</v>
      </c>
      <c r="I160" t="s">
        <v>366</v>
      </c>
    </row>
    <row r="161" spans="1:9" s="9" customFormat="1">
      <c r="A161" s="47">
        <v>45398</v>
      </c>
      <c r="B161" s="9" t="s">
        <v>429</v>
      </c>
      <c r="C161" s="9" t="s">
        <v>305</v>
      </c>
      <c r="D161" s="9" t="s">
        <v>172</v>
      </c>
      <c r="E161" s="9" t="s">
        <v>148</v>
      </c>
      <c r="F161" s="9" t="s">
        <v>129</v>
      </c>
      <c r="G161" s="9" t="s">
        <v>145</v>
      </c>
      <c r="H161" s="9" t="s">
        <v>152</v>
      </c>
      <c r="I161" s="9" t="s">
        <v>194</v>
      </c>
    </row>
    <row r="162" spans="1:9">
      <c r="A162" s="22">
        <v>45398</v>
      </c>
      <c r="B162" t="s">
        <v>430</v>
      </c>
      <c r="C162" t="s">
        <v>431</v>
      </c>
      <c r="D162" t="s">
        <v>299</v>
      </c>
      <c r="E162" t="s">
        <v>132</v>
      </c>
      <c r="F162" t="s">
        <v>123</v>
      </c>
      <c r="G162" t="s">
        <v>124</v>
      </c>
      <c r="H162" t="s">
        <v>125</v>
      </c>
      <c r="I162" t="s">
        <v>166</v>
      </c>
    </row>
    <row r="163" spans="1:9">
      <c r="A163" s="22">
        <v>45398</v>
      </c>
      <c r="B163" t="s">
        <v>233</v>
      </c>
      <c r="C163" t="s">
        <v>416</v>
      </c>
      <c r="D163" t="s">
        <v>178</v>
      </c>
      <c r="E163" t="s">
        <v>203</v>
      </c>
      <c r="F163" t="s">
        <v>123</v>
      </c>
      <c r="G163" t="s">
        <v>145</v>
      </c>
      <c r="H163" t="s">
        <v>152</v>
      </c>
      <c r="I163" t="s">
        <v>166</v>
      </c>
    </row>
    <row r="164" spans="1:9">
      <c r="A164" s="22">
        <v>45398</v>
      </c>
      <c r="B164" t="s">
        <v>134</v>
      </c>
      <c r="D164" t="s">
        <v>276</v>
      </c>
      <c r="E164" t="s">
        <v>203</v>
      </c>
      <c r="F164" t="s">
        <v>123</v>
      </c>
      <c r="G164" t="s">
        <v>124</v>
      </c>
      <c r="H164" t="s">
        <v>125</v>
      </c>
      <c r="I164" t="s">
        <v>166</v>
      </c>
    </row>
    <row r="165" spans="1:9" s="9" customFormat="1">
      <c r="A165" s="47">
        <v>45398</v>
      </c>
      <c r="B165" s="9" t="s">
        <v>432</v>
      </c>
      <c r="C165" s="9" t="s">
        <v>433</v>
      </c>
      <c r="D165" s="9" t="s">
        <v>329</v>
      </c>
      <c r="E165" s="9" t="s">
        <v>132</v>
      </c>
      <c r="F165" s="9" t="s">
        <v>200</v>
      </c>
      <c r="G165" s="9" t="s">
        <v>179</v>
      </c>
      <c r="H165" s="9" t="s">
        <v>434</v>
      </c>
      <c r="I165" s="9" t="s">
        <v>166</v>
      </c>
    </row>
    <row r="166" spans="1:9">
      <c r="A166" s="22">
        <v>45398</v>
      </c>
      <c r="B166" t="s">
        <v>435</v>
      </c>
      <c r="C166" t="s">
        <v>436</v>
      </c>
      <c r="D166" t="s">
        <v>178</v>
      </c>
      <c r="E166" t="s">
        <v>428</v>
      </c>
      <c r="F166" t="s">
        <v>123</v>
      </c>
      <c r="G166" t="s">
        <v>124</v>
      </c>
      <c r="H166" t="s">
        <v>125</v>
      </c>
      <c r="I166" t="s">
        <v>166</v>
      </c>
    </row>
    <row r="167" spans="1:9">
      <c r="A167" s="22">
        <v>45398</v>
      </c>
      <c r="B167" t="s">
        <v>126</v>
      </c>
      <c r="C167" t="s">
        <v>437</v>
      </c>
      <c r="D167" t="s">
        <v>178</v>
      </c>
      <c r="E167" t="s">
        <v>43</v>
      </c>
      <c r="F167" t="s">
        <v>200</v>
      </c>
      <c r="G167" t="s">
        <v>124</v>
      </c>
      <c r="H167" t="s">
        <v>125</v>
      </c>
      <c r="I167" t="s">
        <v>166</v>
      </c>
    </row>
    <row r="168" spans="1:9">
      <c r="A168" s="22">
        <v>45398</v>
      </c>
      <c r="B168" t="s">
        <v>438</v>
      </c>
      <c r="C168" t="s">
        <v>439</v>
      </c>
      <c r="D168" t="s">
        <v>178</v>
      </c>
      <c r="E168" t="s">
        <v>428</v>
      </c>
      <c r="F168" t="s">
        <v>123</v>
      </c>
      <c r="G168" t="s">
        <v>124</v>
      </c>
      <c r="H168" t="s">
        <v>161</v>
      </c>
      <c r="I168" t="s">
        <v>440</v>
      </c>
    </row>
    <row r="169" spans="1:9">
      <c r="A169" s="22">
        <v>45398</v>
      </c>
      <c r="B169" t="s">
        <v>441</v>
      </c>
      <c r="C169" t="s">
        <v>442</v>
      </c>
      <c r="D169" t="s">
        <v>178</v>
      </c>
      <c r="E169" t="s">
        <v>428</v>
      </c>
      <c r="F169" t="s">
        <v>123</v>
      </c>
      <c r="G169" t="s">
        <v>145</v>
      </c>
      <c r="H169" t="s">
        <v>434</v>
      </c>
      <c r="I169" t="s">
        <v>440</v>
      </c>
    </row>
    <row r="170" spans="1:9">
      <c r="A170" s="22">
        <v>45398</v>
      </c>
      <c r="B170" t="s">
        <v>213</v>
      </c>
      <c r="C170" t="s">
        <v>443</v>
      </c>
      <c r="D170" t="s">
        <v>178</v>
      </c>
      <c r="F170" t="s">
        <v>444</v>
      </c>
      <c r="G170" t="s">
        <v>124</v>
      </c>
      <c r="H170" t="s">
        <v>125</v>
      </c>
      <c r="I170" t="s">
        <v>440</v>
      </c>
    </row>
    <row r="171" spans="1:9">
      <c r="A171" s="22">
        <v>45398</v>
      </c>
      <c r="B171" t="s">
        <v>445</v>
      </c>
      <c r="C171" t="s">
        <v>229</v>
      </c>
      <c r="D171" t="s">
        <v>178</v>
      </c>
      <c r="E171" t="s">
        <v>203</v>
      </c>
      <c r="F171" t="s">
        <v>123</v>
      </c>
      <c r="G171" t="s">
        <v>124</v>
      </c>
      <c r="H171" t="s">
        <v>125</v>
      </c>
      <c r="I171" t="s">
        <v>440</v>
      </c>
    </row>
    <row r="172" spans="1:9">
      <c r="A172" s="22">
        <v>45398</v>
      </c>
      <c r="B172" t="s">
        <v>446</v>
      </c>
      <c r="C172" t="s">
        <v>447</v>
      </c>
      <c r="D172" t="s">
        <v>329</v>
      </c>
      <c r="E172" t="s">
        <v>132</v>
      </c>
      <c r="F172" t="s">
        <v>448</v>
      </c>
      <c r="G172" t="s">
        <v>179</v>
      </c>
      <c r="H172" t="s">
        <v>152</v>
      </c>
      <c r="I172" t="s">
        <v>440</v>
      </c>
    </row>
    <row r="173" spans="1:9">
      <c r="A173" s="22">
        <v>45399</v>
      </c>
      <c r="B173" t="s">
        <v>449</v>
      </c>
      <c r="C173" t="s">
        <v>191</v>
      </c>
      <c r="D173" t="s">
        <v>424</v>
      </c>
      <c r="E173" t="s">
        <v>196</v>
      </c>
      <c r="F173" t="s">
        <v>123</v>
      </c>
      <c r="G173" t="s">
        <v>247</v>
      </c>
      <c r="H173" t="s">
        <v>450</v>
      </c>
      <c r="I173" t="s">
        <v>194</v>
      </c>
    </row>
    <row r="174" spans="1:9" s="9" customFormat="1">
      <c r="A174" s="47">
        <v>45399</v>
      </c>
      <c r="B174" s="9" t="s">
        <v>316</v>
      </c>
      <c r="C174" s="9" t="s">
        <v>451</v>
      </c>
      <c r="D174" s="9" t="s">
        <v>56</v>
      </c>
      <c r="E174" s="9" t="s">
        <v>43</v>
      </c>
      <c r="F174" s="9" t="s">
        <v>200</v>
      </c>
      <c r="G174" s="9" t="s">
        <v>145</v>
      </c>
      <c r="H174" s="9" t="s">
        <v>152</v>
      </c>
      <c r="I174" s="9" t="s">
        <v>180</v>
      </c>
    </row>
    <row r="175" spans="1:9">
      <c r="A175" s="22">
        <v>45399</v>
      </c>
      <c r="B175" t="s">
        <v>126</v>
      </c>
      <c r="C175" t="s">
        <v>452</v>
      </c>
      <c r="D175" t="s">
        <v>56</v>
      </c>
      <c r="E175" t="s">
        <v>148</v>
      </c>
      <c r="F175" t="s">
        <v>129</v>
      </c>
      <c r="G175" t="s">
        <v>124</v>
      </c>
      <c r="H175" t="s">
        <v>125</v>
      </c>
      <c r="I175" t="s">
        <v>194</v>
      </c>
    </row>
    <row r="176" spans="1:9">
      <c r="A176" s="22">
        <v>45399</v>
      </c>
      <c r="B176" t="s">
        <v>239</v>
      </c>
      <c r="C176" t="s">
        <v>453</v>
      </c>
      <c r="D176" t="s">
        <v>211</v>
      </c>
      <c r="E176" t="s">
        <v>142</v>
      </c>
      <c r="F176" t="s">
        <v>123</v>
      </c>
      <c r="G176" t="s">
        <v>124</v>
      </c>
      <c r="H176" t="s">
        <v>125</v>
      </c>
      <c r="I176" t="s">
        <v>194</v>
      </c>
    </row>
    <row r="177" spans="1:9">
      <c r="A177" s="22">
        <v>45399</v>
      </c>
      <c r="B177" t="s">
        <v>302</v>
      </c>
      <c r="C177" t="s">
        <v>229</v>
      </c>
      <c r="D177" t="s">
        <v>424</v>
      </c>
      <c r="E177" t="s">
        <v>132</v>
      </c>
      <c r="F177" t="s">
        <v>123</v>
      </c>
      <c r="G177" t="s">
        <v>124</v>
      </c>
      <c r="H177" t="s">
        <v>125</v>
      </c>
      <c r="I177" t="s">
        <v>454</v>
      </c>
    </row>
    <row r="178" spans="1:9">
      <c r="A178" s="22">
        <v>45399</v>
      </c>
      <c r="B178" t="s">
        <v>455</v>
      </c>
      <c r="C178" t="s">
        <v>456</v>
      </c>
      <c r="D178" t="s">
        <v>211</v>
      </c>
      <c r="E178" t="s">
        <v>148</v>
      </c>
      <c r="F178" t="s">
        <v>129</v>
      </c>
      <c r="G178" t="s">
        <v>457</v>
      </c>
      <c r="H178" t="s">
        <v>155</v>
      </c>
      <c r="I178" t="s">
        <v>194</v>
      </c>
    </row>
    <row r="179" spans="1:9">
      <c r="A179" s="22">
        <v>45399</v>
      </c>
      <c r="B179" t="s">
        <v>213</v>
      </c>
      <c r="C179" t="s">
        <v>348</v>
      </c>
      <c r="D179" t="s">
        <v>172</v>
      </c>
      <c r="E179" t="s">
        <v>458</v>
      </c>
      <c r="F179" t="s">
        <v>459</v>
      </c>
      <c r="G179" t="s">
        <v>124</v>
      </c>
      <c r="H179" t="s">
        <v>125</v>
      </c>
      <c r="I179" t="s">
        <v>194</v>
      </c>
    </row>
    <row r="180" spans="1:9">
      <c r="A180" s="22">
        <v>45399</v>
      </c>
      <c r="B180" t="s">
        <v>460</v>
      </c>
      <c r="C180" t="s">
        <v>387</v>
      </c>
      <c r="D180" t="s">
        <v>185</v>
      </c>
      <c r="E180" t="s">
        <v>428</v>
      </c>
      <c r="F180" t="s">
        <v>123</v>
      </c>
      <c r="G180" t="s">
        <v>124</v>
      </c>
      <c r="H180" t="s">
        <v>161</v>
      </c>
      <c r="I180" t="s">
        <v>194</v>
      </c>
    </row>
    <row r="181" spans="1:9">
      <c r="A181" s="22"/>
    </row>
    <row r="182" spans="1:9">
      <c r="A182" s="22">
        <v>45399</v>
      </c>
      <c r="B182" t="s">
        <v>120</v>
      </c>
      <c r="C182" t="s">
        <v>461</v>
      </c>
      <c r="D182" t="s">
        <v>290</v>
      </c>
      <c r="E182" t="s">
        <v>203</v>
      </c>
      <c r="F182" t="s">
        <v>123</v>
      </c>
      <c r="G182" t="s">
        <v>124</v>
      </c>
      <c r="H182" t="s">
        <v>125</v>
      </c>
      <c r="I182" t="s">
        <v>440</v>
      </c>
    </row>
    <row r="183" spans="1:9">
      <c r="A183" s="22">
        <v>45399</v>
      </c>
      <c r="B183" t="s">
        <v>126</v>
      </c>
      <c r="C183" t="s">
        <v>462</v>
      </c>
      <c r="D183" t="s">
        <v>329</v>
      </c>
      <c r="E183" t="s">
        <v>199</v>
      </c>
      <c r="F183" t="s">
        <v>200</v>
      </c>
      <c r="G183" t="s">
        <v>124</v>
      </c>
      <c r="H183" t="s">
        <v>125</v>
      </c>
      <c r="I183" t="s">
        <v>204</v>
      </c>
    </row>
    <row r="184" spans="1:9">
      <c r="A184" s="22">
        <v>45399</v>
      </c>
      <c r="B184" t="s">
        <v>304</v>
      </c>
      <c r="C184" t="s">
        <v>463</v>
      </c>
      <c r="D184" t="s">
        <v>464</v>
      </c>
      <c r="E184" t="s">
        <v>412</v>
      </c>
      <c r="F184" t="s">
        <v>200</v>
      </c>
      <c r="G184" t="s">
        <v>124</v>
      </c>
      <c r="H184" t="s">
        <v>161</v>
      </c>
      <c r="I184" t="s">
        <v>440</v>
      </c>
    </row>
    <row r="185" spans="1:9">
      <c r="A185" s="22">
        <v>45399</v>
      </c>
      <c r="B185" t="s">
        <v>207</v>
      </c>
      <c r="C185" t="s">
        <v>354</v>
      </c>
      <c r="D185" t="s">
        <v>178</v>
      </c>
      <c r="E185" t="s">
        <v>43</v>
      </c>
      <c r="F185" t="s">
        <v>200</v>
      </c>
      <c r="G185" t="s">
        <v>193</v>
      </c>
      <c r="H185" t="s">
        <v>125</v>
      </c>
      <c r="I185" t="s">
        <v>204</v>
      </c>
    </row>
    <row r="186" spans="1:9">
      <c r="A186" s="22">
        <v>45399</v>
      </c>
      <c r="B186" t="s">
        <v>367</v>
      </c>
      <c r="C186" t="s">
        <v>465</v>
      </c>
      <c r="D186" t="s">
        <v>329</v>
      </c>
      <c r="E186" t="s">
        <v>203</v>
      </c>
      <c r="F186" t="s">
        <v>123</v>
      </c>
      <c r="G186" t="s">
        <v>145</v>
      </c>
      <c r="H186" t="s">
        <v>152</v>
      </c>
      <c r="I186" t="s">
        <v>440</v>
      </c>
    </row>
    <row r="187" spans="1:9">
      <c r="A187" s="22">
        <v>45399</v>
      </c>
      <c r="B187" t="s">
        <v>429</v>
      </c>
      <c r="C187" t="s">
        <v>466</v>
      </c>
      <c r="D187" t="s">
        <v>290</v>
      </c>
      <c r="E187" t="s">
        <v>148</v>
      </c>
      <c r="F187" t="s">
        <v>467</v>
      </c>
      <c r="G187" t="s">
        <v>124</v>
      </c>
      <c r="H187" t="s">
        <v>125</v>
      </c>
      <c r="I187" t="s">
        <v>204</v>
      </c>
    </row>
    <row r="188" spans="1:9">
      <c r="A188" s="22">
        <v>45400</v>
      </c>
      <c r="B188" t="s">
        <v>134</v>
      </c>
      <c r="C188" t="s">
        <v>468</v>
      </c>
      <c r="D188" t="s">
        <v>424</v>
      </c>
      <c r="E188" t="s">
        <v>469</v>
      </c>
      <c r="F188" t="s">
        <v>470</v>
      </c>
      <c r="G188" t="s">
        <v>124</v>
      </c>
      <c r="H188" t="s">
        <v>125</v>
      </c>
      <c r="I188" t="s">
        <v>440</v>
      </c>
    </row>
    <row r="189" spans="1:9">
      <c r="A189" s="22">
        <v>45400</v>
      </c>
      <c r="B189" t="s">
        <v>130</v>
      </c>
      <c r="C189" t="s">
        <v>468</v>
      </c>
      <c r="D189" t="s">
        <v>211</v>
      </c>
      <c r="E189" t="s">
        <v>203</v>
      </c>
      <c r="F189" t="s">
        <v>470</v>
      </c>
      <c r="G189" t="s">
        <v>124</v>
      </c>
      <c r="H189" t="s">
        <v>125</v>
      </c>
      <c r="I189" t="s">
        <v>471</v>
      </c>
    </row>
    <row r="190" spans="1:9" s="9" customFormat="1">
      <c r="A190" s="47">
        <v>45400</v>
      </c>
      <c r="B190" s="9" t="s">
        <v>150</v>
      </c>
      <c r="C190" s="9" t="s">
        <v>415</v>
      </c>
      <c r="D190" s="9" t="s">
        <v>211</v>
      </c>
      <c r="E190" s="9" t="s">
        <v>142</v>
      </c>
      <c r="F190" s="9" t="s">
        <v>406</v>
      </c>
      <c r="G190" s="9" t="s">
        <v>124</v>
      </c>
      <c r="H190" s="9" t="s">
        <v>125</v>
      </c>
      <c r="I190" s="9" t="s">
        <v>472</v>
      </c>
    </row>
    <row r="191" spans="1:9">
      <c r="A191" s="22">
        <v>45400</v>
      </c>
      <c r="B191" t="s">
        <v>150</v>
      </c>
      <c r="C191" t="s">
        <v>357</v>
      </c>
      <c r="D191" t="s">
        <v>185</v>
      </c>
      <c r="E191" t="s">
        <v>122</v>
      </c>
      <c r="F191" t="s">
        <v>358</v>
      </c>
      <c r="G191" t="s">
        <v>417</v>
      </c>
      <c r="H191" t="s">
        <v>152</v>
      </c>
      <c r="I191" t="s">
        <v>194</v>
      </c>
    </row>
    <row r="192" spans="1:9">
      <c r="A192" s="22">
        <v>45400</v>
      </c>
      <c r="B192" t="s">
        <v>460</v>
      </c>
      <c r="C192" t="s">
        <v>473</v>
      </c>
      <c r="D192" t="s">
        <v>185</v>
      </c>
      <c r="E192" t="s">
        <v>43</v>
      </c>
      <c r="F192" t="s">
        <v>474</v>
      </c>
      <c r="G192" t="s">
        <v>124</v>
      </c>
      <c r="H192" t="s">
        <v>161</v>
      </c>
      <c r="I192" t="s">
        <v>194</v>
      </c>
    </row>
    <row r="193" spans="1:9">
      <c r="A193" s="22">
        <v>45400</v>
      </c>
      <c r="B193" t="s">
        <v>233</v>
      </c>
      <c r="C193" t="s">
        <v>475</v>
      </c>
      <c r="D193" t="s">
        <v>371</v>
      </c>
      <c r="E193" t="s">
        <v>203</v>
      </c>
      <c r="F193" t="s">
        <v>470</v>
      </c>
      <c r="G193" t="s">
        <v>124</v>
      </c>
      <c r="H193" t="s">
        <v>152</v>
      </c>
      <c r="I193" t="s">
        <v>166</v>
      </c>
    </row>
    <row r="194" spans="1:9" s="9" customFormat="1">
      <c r="A194" s="47">
        <v>45400</v>
      </c>
      <c r="B194" s="9" t="s">
        <v>167</v>
      </c>
      <c r="C194" s="9" t="s">
        <v>476</v>
      </c>
      <c r="D194" s="9" t="s">
        <v>178</v>
      </c>
      <c r="E194" s="9" t="s">
        <v>394</v>
      </c>
      <c r="F194" s="9" t="s">
        <v>444</v>
      </c>
      <c r="G194" s="9" t="s">
        <v>124</v>
      </c>
      <c r="H194" s="9" t="s">
        <v>155</v>
      </c>
      <c r="I194" s="9" t="s">
        <v>166</v>
      </c>
    </row>
    <row r="195" spans="1:9">
      <c r="A195" s="22">
        <v>45400</v>
      </c>
      <c r="B195" t="s">
        <v>239</v>
      </c>
      <c r="C195" t="s">
        <v>477</v>
      </c>
      <c r="D195" t="s">
        <v>178</v>
      </c>
      <c r="E195" t="s">
        <v>412</v>
      </c>
      <c r="F195" t="s">
        <v>474</v>
      </c>
      <c r="G195" t="s">
        <v>124</v>
      </c>
      <c r="H195" t="s">
        <v>125</v>
      </c>
      <c r="I195" t="s">
        <v>194</v>
      </c>
    </row>
    <row r="196" spans="1:9">
      <c r="A196" s="22">
        <v>45401</v>
      </c>
      <c r="B196" t="s">
        <v>195</v>
      </c>
      <c r="C196" t="s">
        <v>339</v>
      </c>
      <c r="D196" t="s">
        <v>211</v>
      </c>
      <c r="E196" t="s">
        <v>196</v>
      </c>
      <c r="F196" t="s">
        <v>340</v>
      </c>
      <c r="G196" t="s">
        <v>313</v>
      </c>
      <c r="H196" t="s">
        <v>152</v>
      </c>
      <c r="I196" t="s">
        <v>194</v>
      </c>
    </row>
    <row r="197" spans="1:9">
      <c r="A197" s="22">
        <v>45401</v>
      </c>
      <c r="B197" t="s">
        <v>134</v>
      </c>
      <c r="C197" t="s">
        <v>478</v>
      </c>
      <c r="D197" t="s">
        <v>211</v>
      </c>
      <c r="E197" t="s">
        <v>43</v>
      </c>
      <c r="F197" t="s">
        <v>200</v>
      </c>
      <c r="G197" t="s">
        <v>124</v>
      </c>
      <c r="H197" t="s">
        <v>125</v>
      </c>
      <c r="I197" t="s">
        <v>194</v>
      </c>
    </row>
    <row r="198" spans="1:9" s="9" customFormat="1">
      <c r="A198" s="47">
        <v>45401</v>
      </c>
      <c r="B198" s="9" t="s">
        <v>126</v>
      </c>
      <c r="C198" s="9" t="s">
        <v>479</v>
      </c>
      <c r="D198" s="9" t="s">
        <v>211</v>
      </c>
      <c r="E198" s="9" t="s">
        <v>142</v>
      </c>
      <c r="F198" s="9" t="s">
        <v>123</v>
      </c>
      <c r="G198" s="9" t="s">
        <v>124</v>
      </c>
      <c r="H198" s="9" t="s">
        <v>125</v>
      </c>
      <c r="I198" s="9" t="s">
        <v>194</v>
      </c>
    </row>
    <row r="199" spans="1:9">
      <c r="A199" s="22">
        <v>45401</v>
      </c>
      <c r="B199" t="s">
        <v>480</v>
      </c>
      <c r="C199" t="s">
        <v>336</v>
      </c>
      <c r="D199" t="s">
        <v>185</v>
      </c>
      <c r="E199" t="s">
        <v>312</v>
      </c>
      <c r="F199" t="s">
        <v>123</v>
      </c>
      <c r="G199" t="s">
        <v>408</v>
      </c>
      <c r="H199" t="s">
        <v>152</v>
      </c>
      <c r="I199" t="s">
        <v>194</v>
      </c>
    </row>
    <row r="200" spans="1:9">
      <c r="A200" s="22">
        <v>45401</v>
      </c>
      <c r="B200" t="s">
        <v>481</v>
      </c>
      <c r="C200" t="s">
        <v>482</v>
      </c>
      <c r="D200" t="s">
        <v>424</v>
      </c>
      <c r="E200" t="s">
        <v>148</v>
      </c>
      <c r="F200" t="s">
        <v>129</v>
      </c>
      <c r="G200" t="s">
        <v>247</v>
      </c>
      <c r="H200" t="s">
        <v>125</v>
      </c>
      <c r="I200" t="s">
        <v>194</v>
      </c>
    </row>
    <row r="201" spans="1:9" s="42" customFormat="1">
      <c r="A201" s="55">
        <v>45401</v>
      </c>
      <c r="B201" s="42" t="s">
        <v>483</v>
      </c>
      <c r="C201" s="42" t="s">
        <v>451</v>
      </c>
      <c r="D201" s="42" t="s">
        <v>185</v>
      </c>
      <c r="E201" s="42" t="s">
        <v>43</v>
      </c>
      <c r="F201" s="42" t="s">
        <v>200</v>
      </c>
      <c r="G201" s="42" t="s">
        <v>179</v>
      </c>
      <c r="H201" s="42" t="s">
        <v>152</v>
      </c>
      <c r="I201" s="42" t="s">
        <v>194</v>
      </c>
    </row>
    <row r="202" spans="1:9">
      <c r="A202" s="22">
        <v>45401</v>
      </c>
      <c r="B202" t="s">
        <v>302</v>
      </c>
      <c r="C202" t="s">
        <v>484</v>
      </c>
      <c r="D202" t="s">
        <v>246</v>
      </c>
      <c r="E202" t="s">
        <v>196</v>
      </c>
      <c r="F202" t="s">
        <v>123</v>
      </c>
      <c r="G202" t="s">
        <v>124</v>
      </c>
      <c r="H202" t="s">
        <v>125</v>
      </c>
      <c r="I202" t="s">
        <v>440</v>
      </c>
    </row>
    <row r="203" spans="1:9">
      <c r="A203" s="22">
        <v>45401</v>
      </c>
      <c r="B203" t="s">
        <v>207</v>
      </c>
      <c r="C203" t="s">
        <v>485</v>
      </c>
      <c r="D203" t="s">
        <v>178</v>
      </c>
      <c r="E203" t="s">
        <v>412</v>
      </c>
      <c r="F203" t="s">
        <v>200</v>
      </c>
      <c r="G203" t="s">
        <v>124</v>
      </c>
      <c r="H203" t="s">
        <v>125</v>
      </c>
      <c r="I203" t="s">
        <v>194</v>
      </c>
    </row>
    <row r="204" spans="1:9" s="9" customFormat="1">
      <c r="A204" s="47">
        <v>45401</v>
      </c>
      <c r="B204" s="9" t="s">
        <v>150</v>
      </c>
      <c r="C204" s="9" t="s">
        <v>486</v>
      </c>
      <c r="D204" s="9" t="s">
        <v>290</v>
      </c>
      <c r="E204" s="9" t="s">
        <v>394</v>
      </c>
      <c r="F204" s="9" t="s">
        <v>334</v>
      </c>
      <c r="G204" s="9" t="s">
        <v>38</v>
      </c>
      <c r="H204" s="9" t="s">
        <v>152</v>
      </c>
      <c r="I204" s="9" t="s">
        <v>166</v>
      </c>
    </row>
    <row r="205" spans="1:9">
      <c r="A205" s="22">
        <v>45405</v>
      </c>
      <c r="B205" t="s">
        <v>487</v>
      </c>
      <c r="C205" t="s">
        <v>488</v>
      </c>
      <c r="D205" t="s">
        <v>211</v>
      </c>
      <c r="E205" t="s">
        <v>148</v>
      </c>
      <c r="F205" t="s">
        <v>444</v>
      </c>
      <c r="G205" t="s">
        <v>124</v>
      </c>
      <c r="H205" t="s">
        <v>155</v>
      </c>
      <c r="I205" t="s">
        <v>194</v>
      </c>
    </row>
    <row r="206" spans="1:9">
      <c r="A206" s="22">
        <v>45405</v>
      </c>
      <c r="B206" t="s">
        <v>489</v>
      </c>
      <c r="C206" t="s">
        <v>490</v>
      </c>
      <c r="D206" t="s">
        <v>185</v>
      </c>
      <c r="E206" t="s">
        <v>491</v>
      </c>
      <c r="G206" t="s">
        <v>422</v>
      </c>
      <c r="H206" t="s">
        <v>155</v>
      </c>
    </row>
    <row r="207" spans="1:9" s="9" customFormat="1">
      <c r="A207" s="47">
        <v>45405</v>
      </c>
      <c r="B207" s="9" t="s">
        <v>438</v>
      </c>
      <c r="C207" s="9" t="s">
        <v>421</v>
      </c>
      <c r="D207" s="9" t="s">
        <v>185</v>
      </c>
      <c r="E207" s="9" t="s">
        <v>43</v>
      </c>
      <c r="F207" s="9" t="s">
        <v>200</v>
      </c>
      <c r="G207" s="9" t="s">
        <v>145</v>
      </c>
      <c r="H207" s="9" t="s">
        <v>161</v>
      </c>
      <c r="I207" s="9" t="s">
        <v>194</v>
      </c>
    </row>
    <row r="208" spans="1:9">
      <c r="A208" s="22">
        <v>45405</v>
      </c>
      <c r="B208" t="s">
        <v>492</v>
      </c>
      <c r="C208" t="s">
        <v>415</v>
      </c>
      <c r="D208" t="s">
        <v>211</v>
      </c>
      <c r="E208" t="s">
        <v>142</v>
      </c>
      <c r="F208" t="s">
        <v>123</v>
      </c>
      <c r="G208" t="s">
        <v>145</v>
      </c>
      <c r="H208" t="s">
        <v>152</v>
      </c>
      <c r="I208" t="s">
        <v>391</v>
      </c>
    </row>
    <row r="209" spans="1:10">
      <c r="A209" s="22">
        <v>45405</v>
      </c>
      <c r="B209" t="s">
        <v>493</v>
      </c>
      <c r="C209" t="s">
        <v>494</v>
      </c>
      <c r="D209" t="s">
        <v>329</v>
      </c>
      <c r="E209" t="s">
        <v>132</v>
      </c>
      <c r="F209" t="s">
        <v>495</v>
      </c>
      <c r="G209" t="s">
        <v>313</v>
      </c>
      <c r="H209" t="s">
        <v>496</v>
      </c>
      <c r="I209" t="s">
        <v>497</v>
      </c>
    </row>
    <row r="210" spans="1:10">
      <c r="A210" s="22">
        <v>45405</v>
      </c>
      <c r="B210" s="57" t="s">
        <v>195</v>
      </c>
      <c r="C210" t="s">
        <v>498</v>
      </c>
      <c r="D210" t="s">
        <v>178</v>
      </c>
      <c r="E210" t="s">
        <v>499</v>
      </c>
      <c r="F210" t="s">
        <v>500</v>
      </c>
      <c r="G210" t="s">
        <v>137</v>
      </c>
      <c r="H210" t="s">
        <v>397</v>
      </c>
      <c r="I210" t="s">
        <v>166</v>
      </c>
    </row>
    <row r="211" spans="1:10" s="9" customFormat="1">
      <c r="A211" s="47">
        <v>45405</v>
      </c>
      <c r="B211" s="9" t="s">
        <v>501</v>
      </c>
      <c r="C211" s="9" t="s">
        <v>502</v>
      </c>
      <c r="D211" s="9" t="s">
        <v>178</v>
      </c>
      <c r="E211" s="9" t="s">
        <v>199</v>
      </c>
      <c r="F211" s="9" t="s">
        <v>495</v>
      </c>
      <c r="G211" s="9" t="s">
        <v>137</v>
      </c>
      <c r="H211" s="9" t="s">
        <v>161</v>
      </c>
      <c r="I211" s="9" t="s">
        <v>166</v>
      </c>
      <c r="J211" s="9" t="s">
        <v>503</v>
      </c>
    </row>
    <row r="212" spans="1:10">
      <c r="A212" s="22">
        <v>45405</v>
      </c>
      <c r="B212" t="s">
        <v>504</v>
      </c>
      <c r="C212" t="s">
        <v>505</v>
      </c>
      <c r="D212" t="s">
        <v>178</v>
      </c>
      <c r="E212" t="s">
        <v>394</v>
      </c>
      <c r="F212" t="s">
        <v>506</v>
      </c>
      <c r="G212" t="s">
        <v>313</v>
      </c>
      <c r="H212" t="s">
        <v>397</v>
      </c>
      <c r="I212" t="s">
        <v>166</v>
      </c>
    </row>
    <row r="213" spans="1:10">
      <c r="A213" s="22">
        <v>45405</v>
      </c>
      <c r="B213" t="s">
        <v>207</v>
      </c>
      <c r="C213" t="s">
        <v>365</v>
      </c>
      <c r="D213" t="s">
        <v>269</v>
      </c>
      <c r="E213" t="s">
        <v>412</v>
      </c>
      <c r="F213" t="s">
        <v>200</v>
      </c>
      <c r="G213" t="s">
        <v>145</v>
      </c>
      <c r="H213" t="s">
        <v>125</v>
      </c>
      <c r="I213" t="s">
        <v>366</v>
      </c>
    </row>
    <row r="214" spans="1:10">
      <c r="A214" s="22">
        <v>45405</v>
      </c>
      <c r="B214" t="s">
        <v>507</v>
      </c>
      <c r="C214" t="s">
        <v>508</v>
      </c>
      <c r="D214" t="s">
        <v>329</v>
      </c>
      <c r="E214" t="s">
        <v>412</v>
      </c>
      <c r="F214" t="s">
        <v>509</v>
      </c>
      <c r="G214" t="s">
        <v>137</v>
      </c>
      <c r="H214" t="s">
        <v>161</v>
      </c>
      <c r="I214" t="s">
        <v>384</v>
      </c>
    </row>
    <row r="215" spans="1:10">
      <c r="A215" s="22">
        <v>45405</v>
      </c>
      <c r="B215" t="s">
        <v>213</v>
      </c>
      <c r="C215" t="s">
        <v>510</v>
      </c>
      <c r="D215" t="s">
        <v>511</v>
      </c>
      <c r="E215" t="s">
        <v>512</v>
      </c>
      <c r="F215" t="s">
        <v>459</v>
      </c>
      <c r="G215" t="s">
        <v>124</v>
      </c>
      <c r="H215" t="s">
        <v>125</v>
      </c>
      <c r="I215" t="s">
        <v>166</v>
      </c>
    </row>
    <row r="216" spans="1:10">
      <c r="A216" s="22">
        <v>45405</v>
      </c>
      <c r="B216" t="s">
        <v>513</v>
      </c>
      <c r="C216" t="s">
        <v>514</v>
      </c>
      <c r="D216" t="s">
        <v>329</v>
      </c>
      <c r="E216" t="s">
        <v>499</v>
      </c>
      <c r="F216" t="s">
        <v>515</v>
      </c>
      <c r="G216" t="s">
        <v>137</v>
      </c>
      <c r="H216" t="s">
        <v>155</v>
      </c>
      <c r="I216" t="s">
        <v>166</v>
      </c>
    </row>
    <row r="217" spans="1:10">
      <c r="A217" s="22">
        <v>45405</v>
      </c>
      <c r="B217" t="s">
        <v>516</v>
      </c>
      <c r="C217" t="s">
        <v>517</v>
      </c>
      <c r="D217" t="s">
        <v>178</v>
      </c>
      <c r="E217" t="s">
        <v>518</v>
      </c>
      <c r="F217" t="s">
        <v>519</v>
      </c>
      <c r="G217" t="s">
        <v>137</v>
      </c>
      <c r="H217" t="s">
        <v>125</v>
      </c>
      <c r="I217" t="s">
        <v>166</v>
      </c>
    </row>
    <row r="218" spans="1:10">
      <c r="A218" s="22">
        <v>45405</v>
      </c>
      <c r="B218" t="s">
        <v>315</v>
      </c>
      <c r="C218" t="s">
        <v>291</v>
      </c>
      <c r="D218" t="s">
        <v>290</v>
      </c>
      <c r="E218" t="s">
        <v>512</v>
      </c>
      <c r="F218" t="s">
        <v>459</v>
      </c>
      <c r="G218" t="s">
        <v>137</v>
      </c>
      <c r="H218" t="s">
        <v>125</v>
      </c>
      <c r="I218" t="s">
        <v>166</v>
      </c>
    </row>
    <row r="219" spans="1:10">
      <c r="A219" s="22">
        <v>45406</v>
      </c>
      <c r="B219" t="s">
        <v>233</v>
      </c>
      <c r="C219" t="s">
        <v>520</v>
      </c>
      <c r="D219" t="s">
        <v>185</v>
      </c>
      <c r="E219" t="s">
        <v>196</v>
      </c>
      <c r="F219" t="s">
        <v>372</v>
      </c>
      <c r="G219" t="s">
        <v>145</v>
      </c>
      <c r="H219" t="s">
        <v>152</v>
      </c>
      <c r="I219" t="s">
        <v>166</v>
      </c>
    </row>
    <row r="220" spans="1:10">
      <c r="A220" s="22">
        <v>45406</v>
      </c>
      <c r="B220" t="s">
        <v>207</v>
      </c>
      <c r="C220" t="s">
        <v>521</v>
      </c>
      <c r="D220" t="s">
        <v>424</v>
      </c>
      <c r="E220" t="s">
        <v>196</v>
      </c>
      <c r="F220" t="s">
        <v>123</v>
      </c>
      <c r="G220" t="s">
        <v>137</v>
      </c>
      <c r="H220" t="s">
        <v>125</v>
      </c>
      <c r="I220" t="s">
        <v>522</v>
      </c>
    </row>
    <row r="221" spans="1:10">
      <c r="A221" s="22">
        <v>45406</v>
      </c>
      <c r="B221" t="s">
        <v>213</v>
      </c>
      <c r="C221" t="s">
        <v>479</v>
      </c>
      <c r="D221" t="s">
        <v>211</v>
      </c>
      <c r="E221" t="s">
        <v>142</v>
      </c>
      <c r="F221" t="s">
        <v>523</v>
      </c>
      <c r="G221" t="s">
        <v>145</v>
      </c>
      <c r="H221" t="s">
        <v>125</v>
      </c>
      <c r="I221" t="s">
        <v>194</v>
      </c>
    </row>
    <row r="222" spans="1:10">
      <c r="A222" s="22">
        <v>45406</v>
      </c>
      <c r="B222" t="s">
        <v>134</v>
      </c>
      <c r="C222" t="s">
        <v>524</v>
      </c>
      <c r="D222" t="s">
        <v>178</v>
      </c>
      <c r="E222" t="s">
        <v>203</v>
      </c>
      <c r="F222" t="s">
        <v>525</v>
      </c>
      <c r="G222" t="s">
        <v>124</v>
      </c>
      <c r="H222" t="s">
        <v>125</v>
      </c>
      <c r="I222" t="s">
        <v>194</v>
      </c>
    </row>
    <row r="223" spans="1:10">
      <c r="A223" s="22">
        <v>45406</v>
      </c>
      <c r="B223" t="s">
        <v>526</v>
      </c>
      <c r="C223" t="s">
        <v>527</v>
      </c>
      <c r="D223" t="s">
        <v>269</v>
      </c>
      <c r="E223" t="s">
        <v>43</v>
      </c>
      <c r="F223" t="s">
        <v>200</v>
      </c>
      <c r="G223" t="s">
        <v>145</v>
      </c>
      <c r="H223" t="s">
        <v>161</v>
      </c>
      <c r="I223" t="s">
        <v>166</v>
      </c>
    </row>
    <row r="224" spans="1:10">
      <c r="A224" s="22">
        <v>45406</v>
      </c>
      <c r="B224" s="54" t="s">
        <v>220</v>
      </c>
      <c r="C224" t="s">
        <v>528</v>
      </c>
      <c r="D224" t="s">
        <v>269</v>
      </c>
      <c r="E224" t="s">
        <v>518</v>
      </c>
      <c r="F224" t="s">
        <v>529</v>
      </c>
      <c r="G224" t="s">
        <v>145</v>
      </c>
      <c r="H224" t="s">
        <v>152</v>
      </c>
      <c r="I224" t="s">
        <v>227</v>
      </c>
    </row>
    <row r="225" spans="1:9">
      <c r="A225" s="22">
        <v>45406</v>
      </c>
      <c r="B225" t="s">
        <v>270</v>
      </c>
      <c r="C225" t="s">
        <v>365</v>
      </c>
      <c r="D225" t="s">
        <v>269</v>
      </c>
      <c r="E225" t="s">
        <v>518</v>
      </c>
      <c r="F225" t="s">
        <v>200</v>
      </c>
      <c r="G225" t="s">
        <v>145</v>
      </c>
      <c r="H225" t="s">
        <v>125</v>
      </c>
      <c r="I225" t="s">
        <v>166</v>
      </c>
    </row>
    <row r="226" spans="1:9">
      <c r="A226" s="22">
        <v>45406</v>
      </c>
      <c r="B226" t="s">
        <v>126</v>
      </c>
      <c r="C226" t="s">
        <v>530</v>
      </c>
      <c r="D226" t="s">
        <v>329</v>
      </c>
      <c r="E226" t="s">
        <v>203</v>
      </c>
      <c r="F226" t="s">
        <v>123</v>
      </c>
      <c r="G226" t="s">
        <v>124</v>
      </c>
      <c r="H226" t="s">
        <v>125</v>
      </c>
      <c r="I226" t="s">
        <v>531</v>
      </c>
    </row>
    <row r="227" spans="1:9">
      <c r="A227" s="22">
        <v>45406</v>
      </c>
      <c r="B227" t="s">
        <v>364</v>
      </c>
      <c r="C227" t="s">
        <v>532</v>
      </c>
      <c r="D227" t="s">
        <v>329</v>
      </c>
      <c r="E227" t="s">
        <v>518</v>
      </c>
      <c r="F227" t="s">
        <v>474</v>
      </c>
      <c r="G227" t="s">
        <v>145</v>
      </c>
      <c r="H227" t="s">
        <v>125</v>
      </c>
      <c r="I227" t="s">
        <v>166</v>
      </c>
    </row>
    <row r="228" spans="1:9">
      <c r="A228" s="22">
        <v>45406</v>
      </c>
      <c r="B228" t="s">
        <v>273</v>
      </c>
      <c r="C228" t="s">
        <v>533</v>
      </c>
      <c r="D228" t="s">
        <v>299</v>
      </c>
      <c r="E228" t="s">
        <v>148</v>
      </c>
      <c r="F228" t="s">
        <v>129</v>
      </c>
      <c r="G228" t="s">
        <v>145</v>
      </c>
      <c r="H228" t="s">
        <v>152</v>
      </c>
      <c r="I228" t="s">
        <v>194</v>
      </c>
    </row>
    <row r="229" spans="1:9">
      <c r="A229" s="22">
        <v>45407</v>
      </c>
      <c r="B229" t="s">
        <v>195</v>
      </c>
      <c r="C229" t="s">
        <v>415</v>
      </c>
      <c r="D229" t="s">
        <v>211</v>
      </c>
      <c r="E229" t="s">
        <v>142</v>
      </c>
      <c r="F229" t="s">
        <v>123</v>
      </c>
      <c r="G229" t="s">
        <v>145</v>
      </c>
      <c r="H229" t="s">
        <v>152</v>
      </c>
      <c r="I229" t="s">
        <v>194</v>
      </c>
    </row>
    <row r="230" spans="1:9" s="9" customFormat="1">
      <c r="A230" s="47">
        <v>45407</v>
      </c>
      <c r="B230" s="9" t="s">
        <v>526</v>
      </c>
      <c r="C230" s="9" t="s">
        <v>534</v>
      </c>
      <c r="D230" s="9" t="s">
        <v>178</v>
      </c>
      <c r="E230" s="9" t="s">
        <v>394</v>
      </c>
      <c r="F230" s="9" t="s">
        <v>535</v>
      </c>
      <c r="G230" s="9" t="s">
        <v>145</v>
      </c>
      <c r="H230" s="9" t="s">
        <v>161</v>
      </c>
      <c r="I230" s="9" t="s">
        <v>194</v>
      </c>
    </row>
    <row r="231" spans="1:9">
      <c r="A231" s="22">
        <v>45407</v>
      </c>
      <c r="B231" t="s">
        <v>220</v>
      </c>
      <c r="E231" t="s">
        <v>512</v>
      </c>
      <c r="F231" t="s">
        <v>536</v>
      </c>
      <c r="I231" t="s">
        <v>194</v>
      </c>
    </row>
    <row r="232" spans="1:9" s="9" customFormat="1">
      <c r="A232" s="47">
        <v>45407</v>
      </c>
      <c r="B232" s="9" t="s">
        <v>322</v>
      </c>
      <c r="C232" s="9" t="s">
        <v>485</v>
      </c>
      <c r="D232" s="9" t="s">
        <v>178</v>
      </c>
      <c r="E232" s="9" t="s">
        <v>518</v>
      </c>
      <c r="F232" s="9" t="s">
        <v>200</v>
      </c>
      <c r="G232" s="9" t="s">
        <v>145</v>
      </c>
      <c r="H232" s="9" t="s">
        <v>125</v>
      </c>
      <c r="I232" s="9" t="s">
        <v>194</v>
      </c>
    </row>
    <row r="233" spans="1:9" s="9" customFormat="1">
      <c r="A233" s="47">
        <v>45407</v>
      </c>
      <c r="B233" s="9" t="s">
        <v>537</v>
      </c>
      <c r="C233" s="9" t="s">
        <v>538</v>
      </c>
      <c r="D233" s="9" t="s">
        <v>329</v>
      </c>
      <c r="E233" s="9" t="s">
        <v>132</v>
      </c>
      <c r="F233" s="9" t="s">
        <v>200</v>
      </c>
      <c r="G233" s="9" t="s">
        <v>237</v>
      </c>
      <c r="H233" s="9" t="s">
        <v>539</v>
      </c>
    </row>
    <row r="234" spans="1:9" s="9" customFormat="1">
      <c r="A234" s="47">
        <v>45408</v>
      </c>
      <c r="B234" s="9" t="s">
        <v>262</v>
      </c>
      <c r="C234" s="9" t="s">
        <v>540</v>
      </c>
      <c r="D234" s="9" t="s">
        <v>329</v>
      </c>
      <c r="E234" s="9" t="s">
        <v>148</v>
      </c>
      <c r="F234" s="9" t="s">
        <v>467</v>
      </c>
      <c r="G234" s="9" t="s">
        <v>124</v>
      </c>
      <c r="H234" s="9" t="s">
        <v>125</v>
      </c>
      <c r="I234" s="9" t="s">
        <v>166</v>
      </c>
    </row>
    <row r="235" spans="1:9">
      <c r="A235" s="22">
        <v>45408</v>
      </c>
      <c r="B235" t="s">
        <v>168</v>
      </c>
      <c r="C235" t="s">
        <v>528</v>
      </c>
      <c r="D235" t="s">
        <v>541</v>
      </c>
      <c r="E235" t="s">
        <v>512</v>
      </c>
      <c r="F235" t="s">
        <v>542</v>
      </c>
      <c r="G235" t="s">
        <v>145</v>
      </c>
      <c r="H235" t="s">
        <v>152</v>
      </c>
      <c r="I235" t="s">
        <v>166</v>
      </c>
    </row>
    <row r="236" spans="1:9" s="9" customFormat="1">
      <c r="A236" s="47">
        <v>45408</v>
      </c>
      <c r="B236" s="9" t="s">
        <v>252</v>
      </c>
      <c r="C236" s="9" t="s">
        <v>543</v>
      </c>
      <c r="D236" s="9" t="s">
        <v>329</v>
      </c>
      <c r="E236" s="9" t="s">
        <v>544</v>
      </c>
      <c r="F236" s="9" t="s">
        <v>200</v>
      </c>
      <c r="G236" s="9" t="s">
        <v>124</v>
      </c>
      <c r="H236" s="9" t="s">
        <v>125</v>
      </c>
      <c r="I236" s="9" t="s">
        <v>497</v>
      </c>
    </row>
    <row r="237" spans="1:9">
      <c r="A237" s="22">
        <v>45411</v>
      </c>
      <c r="B237" t="s">
        <v>126</v>
      </c>
      <c r="C237" t="s">
        <v>545</v>
      </c>
      <c r="D237" t="s">
        <v>185</v>
      </c>
      <c r="E237" t="s">
        <v>43</v>
      </c>
      <c r="F237" t="s">
        <v>200</v>
      </c>
      <c r="G237" t="s">
        <v>124</v>
      </c>
      <c r="H237" t="s">
        <v>125</v>
      </c>
      <c r="I237" t="s">
        <v>166</v>
      </c>
    </row>
    <row r="238" spans="1:9">
      <c r="A238" s="22">
        <v>45411</v>
      </c>
      <c r="B238" t="s">
        <v>546</v>
      </c>
      <c r="C238" t="s">
        <v>547</v>
      </c>
      <c r="D238" t="s">
        <v>329</v>
      </c>
      <c r="E238" t="s">
        <v>548</v>
      </c>
      <c r="F238" t="s">
        <v>200</v>
      </c>
      <c r="G238" t="s">
        <v>124</v>
      </c>
      <c r="H238" t="s">
        <v>549</v>
      </c>
      <c r="I238" t="s">
        <v>166</v>
      </c>
    </row>
    <row r="239" spans="1:9">
      <c r="A239" s="22">
        <v>45411</v>
      </c>
      <c r="B239" t="s">
        <v>550</v>
      </c>
      <c r="C239" t="s">
        <v>551</v>
      </c>
      <c r="D239" t="s">
        <v>178</v>
      </c>
      <c r="E239" t="s">
        <v>196</v>
      </c>
      <c r="F239" t="s">
        <v>123</v>
      </c>
      <c r="G239" t="s">
        <v>145</v>
      </c>
      <c r="H239" t="s">
        <v>152</v>
      </c>
      <c r="I239" t="s">
        <v>552</v>
      </c>
    </row>
    <row r="240" spans="1:9">
      <c r="A240" s="22">
        <v>45411</v>
      </c>
      <c r="B240" t="s">
        <v>146</v>
      </c>
      <c r="C240" t="s">
        <v>416</v>
      </c>
      <c r="D240" t="s">
        <v>178</v>
      </c>
      <c r="E240" t="s">
        <v>203</v>
      </c>
      <c r="F240" t="s">
        <v>372</v>
      </c>
      <c r="G240" t="s">
        <v>247</v>
      </c>
      <c r="H240" t="s">
        <v>125</v>
      </c>
      <c r="I240" t="s">
        <v>497</v>
      </c>
    </row>
    <row r="241" spans="1:9">
      <c r="A241" s="22">
        <v>45411</v>
      </c>
      <c r="B241" t="s">
        <v>553</v>
      </c>
      <c r="C241" t="s">
        <v>554</v>
      </c>
      <c r="D241" t="s">
        <v>178</v>
      </c>
      <c r="E241" t="s">
        <v>142</v>
      </c>
      <c r="F241" t="s">
        <v>555</v>
      </c>
      <c r="G241" t="s">
        <v>124</v>
      </c>
      <c r="H241" t="s">
        <v>549</v>
      </c>
      <c r="I241" t="s">
        <v>497</v>
      </c>
    </row>
    <row r="242" spans="1:9">
      <c r="A242" s="22">
        <v>45411</v>
      </c>
      <c r="B242" t="s">
        <v>556</v>
      </c>
      <c r="C242" t="s">
        <v>557</v>
      </c>
      <c r="D242" t="s">
        <v>329</v>
      </c>
      <c r="E242" t="s">
        <v>518</v>
      </c>
      <c r="F242" t="s">
        <v>200</v>
      </c>
      <c r="G242" t="s">
        <v>124</v>
      </c>
      <c r="H242" t="s">
        <v>155</v>
      </c>
      <c r="I242" t="s">
        <v>194</v>
      </c>
    </row>
    <row r="243" spans="1:9" s="9" customFormat="1">
      <c r="A243" s="47">
        <v>45411</v>
      </c>
      <c r="B243" s="9" t="s">
        <v>249</v>
      </c>
      <c r="C243" s="9" t="s">
        <v>431</v>
      </c>
      <c r="D243" s="9" t="s">
        <v>178</v>
      </c>
      <c r="E243" s="9" t="s">
        <v>43</v>
      </c>
      <c r="F243" s="9" t="s">
        <v>200</v>
      </c>
      <c r="G243" s="9" t="s">
        <v>124</v>
      </c>
      <c r="H243" s="9" t="s">
        <v>125</v>
      </c>
      <c r="I243" s="9" t="s">
        <v>194</v>
      </c>
    </row>
    <row r="244" spans="1:9" s="9" customFormat="1">
      <c r="A244" s="47">
        <v>45411</v>
      </c>
      <c r="B244" s="47" t="s">
        <v>249</v>
      </c>
      <c r="C244" s="9" t="s">
        <v>558</v>
      </c>
      <c r="D244" s="9" t="s">
        <v>329</v>
      </c>
      <c r="E244" s="9" t="s">
        <v>559</v>
      </c>
      <c r="F244" s="9" t="s">
        <v>123</v>
      </c>
      <c r="G244" s="9" t="s">
        <v>124</v>
      </c>
      <c r="H244" s="9" t="s">
        <v>125</v>
      </c>
      <c r="I244" s="9" t="s">
        <v>391</v>
      </c>
    </row>
    <row r="245" spans="1:9">
      <c r="A245" s="22">
        <v>45411</v>
      </c>
      <c r="B245" t="s">
        <v>315</v>
      </c>
      <c r="C245" t="s">
        <v>258</v>
      </c>
      <c r="D245" t="s">
        <v>178</v>
      </c>
      <c r="E245" t="s">
        <v>203</v>
      </c>
      <c r="F245" t="s">
        <v>123</v>
      </c>
      <c r="G245" t="s">
        <v>124</v>
      </c>
      <c r="H245" t="s">
        <v>125</v>
      </c>
      <c r="I245" t="s">
        <v>497</v>
      </c>
    </row>
    <row r="246" spans="1:9">
      <c r="A246" s="22">
        <v>45411</v>
      </c>
      <c r="B246" t="s">
        <v>252</v>
      </c>
      <c r="C246" t="s">
        <v>560</v>
      </c>
      <c r="D246" t="s">
        <v>329</v>
      </c>
      <c r="E246" t="s">
        <v>518</v>
      </c>
      <c r="F246" t="s">
        <v>200</v>
      </c>
      <c r="G246" t="s">
        <v>124</v>
      </c>
      <c r="H246" t="s">
        <v>125</v>
      </c>
      <c r="I246" t="s">
        <v>194</v>
      </c>
    </row>
    <row r="247" spans="1:9">
      <c r="A247" s="22">
        <v>45412</v>
      </c>
      <c r="B247" t="s">
        <v>146</v>
      </c>
      <c r="C247" t="s">
        <v>561</v>
      </c>
      <c r="D247" t="s">
        <v>211</v>
      </c>
      <c r="E247" t="s">
        <v>142</v>
      </c>
      <c r="F247" t="s">
        <v>562</v>
      </c>
      <c r="G247" t="s">
        <v>124</v>
      </c>
      <c r="H247" t="s">
        <v>125</v>
      </c>
      <c r="I247" t="s">
        <v>166</v>
      </c>
    </row>
    <row r="248" spans="1:9">
      <c r="A248" s="22">
        <v>45412</v>
      </c>
      <c r="B248" t="s">
        <v>130</v>
      </c>
      <c r="C248" t="s">
        <v>561</v>
      </c>
      <c r="D248" t="s">
        <v>424</v>
      </c>
      <c r="E248" t="s">
        <v>196</v>
      </c>
      <c r="F248" t="s">
        <v>562</v>
      </c>
      <c r="G248" t="s">
        <v>124</v>
      </c>
      <c r="H248" t="s">
        <v>125</v>
      </c>
      <c r="I248" t="s">
        <v>166</v>
      </c>
    </row>
    <row r="249" spans="1:9">
      <c r="A249" s="22">
        <v>45412</v>
      </c>
      <c r="B249" t="s">
        <v>487</v>
      </c>
      <c r="C249" t="s">
        <v>563</v>
      </c>
      <c r="D249" t="s">
        <v>178</v>
      </c>
      <c r="E249" t="s">
        <v>559</v>
      </c>
      <c r="F249" t="s">
        <v>564</v>
      </c>
      <c r="G249" t="s">
        <v>124</v>
      </c>
      <c r="H249" t="s">
        <v>155</v>
      </c>
      <c r="I249" t="s">
        <v>166</v>
      </c>
    </row>
    <row r="250" spans="1:9">
      <c r="A250" s="22">
        <v>45412</v>
      </c>
      <c r="B250" t="s">
        <v>565</v>
      </c>
      <c r="C250" t="s">
        <v>554</v>
      </c>
      <c r="D250" t="s">
        <v>178</v>
      </c>
      <c r="E250" t="s">
        <v>394</v>
      </c>
      <c r="F250" t="s">
        <v>566</v>
      </c>
      <c r="G250" t="s">
        <v>124</v>
      </c>
      <c r="H250" t="s">
        <v>549</v>
      </c>
      <c r="I250" t="s">
        <v>366</v>
      </c>
    </row>
    <row r="251" spans="1:9" s="9" customFormat="1">
      <c r="A251" s="47">
        <v>45412</v>
      </c>
      <c r="B251" s="9" t="s">
        <v>130</v>
      </c>
      <c r="C251" s="9" t="s">
        <v>494</v>
      </c>
      <c r="D251" s="9" t="s">
        <v>198</v>
      </c>
      <c r="E251" s="9" t="s">
        <v>43</v>
      </c>
      <c r="F251" s="9" t="s">
        <v>200</v>
      </c>
      <c r="G251" s="9" t="s">
        <v>124</v>
      </c>
      <c r="H251" s="9" t="s">
        <v>125</v>
      </c>
      <c r="I251" s="9" t="s">
        <v>166</v>
      </c>
    </row>
    <row r="252" spans="1:9" s="9" customFormat="1">
      <c r="A252" s="47">
        <v>45412</v>
      </c>
      <c r="B252" s="9" t="s">
        <v>146</v>
      </c>
      <c r="C252" s="9" t="s">
        <v>558</v>
      </c>
      <c r="D252" s="9" t="s">
        <v>329</v>
      </c>
      <c r="E252" s="9" t="s">
        <v>394</v>
      </c>
      <c r="F252" s="9" t="s">
        <v>567</v>
      </c>
      <c r="G252" s="9" t="s">
        <v>124</v>
      </c>
      <c r="H252" s="9" t="s">
        <v>125</v>
      </c>
      <c r="I252" s="9" t="s">
        <v>366</v>
      </c>
    </row>
    <row r="253" spans="1:9">
      <c r="A253" s="22">
        <v>45412</v>
      </c>
      <c r="B253" t="s">
        <v>304</v>
      </c>
      <c r="C253" t="s">
        <v>568</v>
      </c>
      <c r="D253" t="s">
        <v>329</v>
      </c>
      <c r="E253" t="s">
        <v>199</v>
      </c>
      <c r="F253" t="s">
        <v>200</v>
      </c>
      <c r="G253" t="s">
        <v>145</v>
      </c>
      <c r="H253" t="s">
        <v>161</v>
      </c>
      <c r="I253" t="s">
        <v>166</v>
      </c>
    </row>
    <row r="254" spans="1:9" s="9" customFormat="1">
      <c r="A254" s="47">
        <v>45412</v>
      </c>
      <c r="B254" s="9" t="s">
        <v>364</v>
      </c>
      <c r="C254" s="9" t="s">
        <v>502</v>
      </c>
      <c r="D254" s="9" t="s">
        <v>569</v>
      </c>
      <c r="E254" s="9" t="s">
        <v>199</v>
      </c>
      <c r="F254" s="9" t="s">
        <v>200</v>
      </c>
      <c r="G254" s="9" t="s">
        <v>145</v>
      </c>
      <c r="H254" s="9" t="s">
        <v>161</v>
      </c>
      <c r="I254" s="9" t="s">
        <v>166</v>
      </c>
    </row>
    <row r="255" spans="1:9">
      <c r="A255" s="22">
        <v>45413</v>
      </c>
      <c r="B255" t="s">
        <v>146</v>
      </c>
      <c r="C255" t="s">
        <v>570</v>
      </c>
      <c r="D255" t="s">
        <v>185</v>
      </c>
      <c r="E255" t="s">
        <v>203</v>
      </c>
      <c r="F255" t="s">
        <v>123</v>
      </c>
      <c r="G255" t="s">
        <v>325</v>
      </c>
      <c r="H255" t="s">
        <v>125</v>
      </c>
      <c r="I255" t="s">
        <v>166</v>
      </c>
    </row>
    <row r="256" spans="1:9">
      <c r="A256" s="22">
        <v>45413</v>
      </c>
      <c r="B256" t="s">
        <v>571</v>
      </c>
      <c r="C256" t="s">
        <v>413</v>
      </c>
      <c r="D256" t="s">
        <v>185</v>
      </c>
      <c r="E256" t="s">
        <v>39</v>
      </c>
      <c r="F256" t="s">
        <v>123</v>
      </c>
      <c r="G256" t="s">
        <v>145</v>
      </c>
      <c r="H256" t="s">
        <v>152</v>
      </c>
      <c r="I256" t="s">
        <v>572</v>
      </c>
    </row>
    <row r="257" spans="1:9">
      <c r="A257" s="22">
        <v>45413</v>
      </c>
      <c r="B257" t="s">
        <v>190</v>
      </c>
      <c r="C257" t="s">
        <v>570</v>
      </c>
      <c r="D257" t="s">
        <v>172</v>
      </c>
      <c r="E257" t="s">
        <v>142</v>
      </c>
      <c r="F257" t="s">
        <v>123</v>
      </c>
      <c r="G257" t="s">
        <v>124</v>
      </c>
      <c r="H257" t="s">
        <v>125</v>
      </c>
      <c r="I257" t="s">
        <v>166</v>
      </c>
    </row>
    <row r="258" spans="1:9">
      <c r="A258" s="22">
        <v>45413</v>
      </c>
      <c r="B258" t="s">
        <v>170</v>
      </c>
      <c r="C258" t="s">
        <v>206</v>
      </c>
      <c r="D258" t="s">
        <v>185</v>
      </c>
      <c r="E258" t="s">
        <v>43</v>
      </c>
      <c r="F258" t="s">
        <v>200</v>
      </c>
      <c r="G258" t="s">
        <v>145</v>
      </c>
      <c r="H258" t="s">
        <v>125</v>
      </c>
      <c r="I258" t="s">
        <v>194</v>
      </c>
    </row>
    <row r="259" spans="1:9">
      <c r="A259" s="22">
        <v>45413</v>
      </c>
      <c r="B259" t="s">
        <v>262</v>
      </c>
      <c r="C259" t="s">
        <v>573</v>
      </c>
      <c r="D259" t="s">
        <v>383</v>
      </c>
      <c r="E259" t="s">
        <v>148</v>
      </c>
      <c r="F259" t="s">
        <v>574</v>
      </c>
      <c r="G259" t="s">
        <v>124</v>
      </c>
      <c r="H259" t="s">
        <v>125</v>
      </c>
      <c r="I259" t="s">
        <v>471</v>
      </c>
    </row>
    <row r="260" spans="1:9">
      <c r="A260" s="22">
        <v>45413</v>
      </c>
      <c r="B260" t="s">
        <v>134</v>
      </c>
      <c r="C260" t="s">
        <v>575</v>
      </c>
      <c r="D260" t="s">
        <v>178</v>
      </c>
      <c r="E260" t="s">
        <v>43</v>
      </c>
      <c r="F260" t="s">
        <v>200</v>
      </c>
      <c r="G260" t="s">
        <v>124</v>
      </c>
      <c r="H260" t="s">
        <v>125</v>
      </c>
      <c r="I260" t="s">
        <v>166</v>
      </c>
    </row>
    <row r="261" spans="1:9">
      <c r="A261" s="22">
        <v>45413</v>
      </c>
      <c r="B261" t="s">
        <v>120</v>
      </c>
      <c r="C261" t="s">
        <v>576</v>
      </c>
      <c r="D261" t="s">
        <v>178</v>
      </c>
      <c r="E261" t="s">
        <v>203</v>
      </c>
      <c r="F261" t="s">
        <v>372</v>
      </c>
      <c r="G261" t="s">
        <v>577</v>
      </c>
      <c r="H261" t="s">
        <v>125</v>
      </c>
      <c r="I261" t="s">
        <v>166</v>
      </c>
    </row>
    <row r="262" spans="1:9">
      <c r="A262" s="22">
        <v>45413</v>
      </c>
      <c r="B262" t="s">
        <v>120</v>
      </c>
      <c r="C262" t="s">
        <v>578</v>
      </c>
      <c r="D262" t="s">
        <v>371</v>
      </c>
      <c r="E262" t="s">
        <v>142</v>
      </c>
      <c r="F262" t="s">
        <v>579</v>
      </c>
      <c r="G262" t="s">
        <v>124</v>
      </c>
      <c r="H262" t="s">
        <v>125</v>
      </c>
      <c r="I262" t="s">
        <v>166</v>
      </c>
    </row>
    <row r="263" spans="1:9">
      <c r="A263" s="22">
        <v>45413</v>
      </c>
      <c r="B263" t="s">
        <v>580</v>
      </c>
      <c r="C263" t="s">
        <v>581</v>
      </c>
      <c r="D263" t="s">
        <v>178</v>
      </c>
      <c r="F263" t="s">
        <v>582</v>
      </c>
      <c r="G263" t="s">
        <v>124</v>
      </c>
      <c r="H263" t="s">
        <v>583</v>
      </c>
      <c r="I263" t="s">
        <v>162</v>
      </c>
    </row>
    <row r="264" spans="1:9">
      <c r="A264" s="22">
        <v>45413</v>
      </c>
      <c r="B264" t="s">
        <v>220</v>
      </c>
      <c r="C264" t="s">
        <v>584</v>
      </c>
      <c r="D264" t="s">
        <v>178</v>
      </c>
      <c r="E264" t="s">
        <v>43</v>
      </c>
      <c r="F264" t="s">
        <v>200</v>
      </c>
      <c r="G264" t="s">
        <v>145</v>
      </c>
      <c r="H264" t="s">
        <v>152</v>
      </c>
      <c r="I264" t="s">
        <v>166</v>
      </c>
    </row>
    <row r="265" spans="1:9">
      <c r="A265" s="22">
        <v>45413</v>
      </c>
      <c r="B265" t="s">
        <v>585</v>
      </c>
      <c r="C265" t="s">
        <v>586</v>
      </c>
      <c r="D265" t="s">
        <v>329</v>
      </c>
      <c r="E265" t="s">
        <v>499</v>
      </c>
      <c r="F265" t="s">
        <v>123</v>
      </c>
      <c r="G265" t="s">
        <v>124</v>
      </c>
      <c r="H265" t="s">
        <v>125</v>
      </c>
      <c r="I265" t="s">
        <v>166</v>
      </c>
    </row>
    <row r="266" spans="1:9" s="9" customFormat="1">
      <c r="A266" s="47">
        <v>45413</v>
      </c>
      <c r="B266" s="9" t="s">
        <v>213</v>
      </c>
      <c r="C266" s="9" t="s">
        <v>558</v>
      </c>
      <c r="D266" s="9" t="s">
        <v>329</v>
      </c>
      <c r="E266" s="9" t="s">
        <v>394</v>
      </c>
      <c r="F266" s="9" t="s">
        <v>587</v>
      </c>
      <c r="G266" s="9" t="s">
        <v>145</v>
      </c>
      <c r="H266" s="9" t="s">
        <v>125</v>
      </c>
      <c r="I266" s="9" t="s">
        <v>588</v>
      </c>
    </row>
    <row r="267" spans="1:9">
      <c r="A267" s="22">
        <v>45413</v>
      </c>
      <c r="B267" t="s">
        <v>190</v>
      </c>
      <c r="C267" t="s">
        <v>589</v>
      </c>
      <c r="D267" t="s">
        <v>590</v>
      </c>
      <c r="E267" t="s">
        <v>591</v>
      </c>
      <c r="F267" t="s">
        <v>123</v>
      </c>
      <c r="G267" t="s">
        <v>145</v>
      </c>
      <c r="H267" t="s">
        <v>125</v>
      </c>
      <c r="I267" t="s">
        <v>166</v>
      </c>
    </row>
    <row r="268" spans="1:9">
      <c r="A268" s="22">
        <v>45414</v>
      </c>
      <c r="B268" t="s">
        <v>364</v>
      </c>
      <c r="C268" t="s">
        <v>421</v>
      </c>
      <c r="D268" t="s">
        <v>56</v>
      </c>
      <c r="E268" t="s">
        <v>43</v>
      </c>
      <c r="F268" t="s">
        <v>200</v>
      </c>
      <c r="G268" t="s">
        <v>222</v>
      </c>
      <c r="H268" t="s">
        <v>592</v>
      </c>
      <c r="I268" t="s">
        <v>166</v>
      </c>
    </row>
    <row r="269" spans="1:9">
      <c r="A269" s="22">
        <v>45414</v>
      </c>
      <c r="B269" t="s">
        <v>195</v>
      </c>
      <c r="C269" t="s">
        <v>431</v>
      </c>
      <c r="D269" t="s">
        <v>593</v>
      </c>
      <c r="E269" t="s">
        <v>43</v>
      </c>
      <c r="F269" t="s">
        <v>200</v>
      </c>
      <c r="G269" t="s">
        <v>145</v>
      </c>
      <c r="H269" t="s">
        <v>152</v>
      </c>
      <c r="I269" t="s">
        <v>166</v>
      </c>
    </row>
    <row r="270" spans="1:9" s="9" customFormat="1">
      <c r="A270" s="47">
        <v>45414</v>
      </c>
      <c r="B270" s="9" t="s">
        <v>183</v>
      </c>
      <c r="C270" s="9" t="s">
        <v>551</v>
      </c>
      <c r="D270" s="9" t="s">
        <v>178</v>
      </c>
      <c r="E270" s="9" t="s">
        <v>594</v>
      </c>
      <c r="F270" s="9" t="s">
        <v>136</v>
      </c>
      <c r="G270" s="9" t="s">
        <v>145</v>
      </c>
      <c r="H270" s="9" t="s">
        <v>152</v>
      </c>
      <c r="I270" s="9" t="s">
        <v>166</v>
      </c>
    </row>
    <row r="271" spans="1:9" s="9" customFormat="1">
      <c r="A271" s="47">
        <v>45414</v>
      </c>
      <c r="B271" s="9" t="s">
        <v>304</v>
      </c>
      <c r="C271" s="9" t="s">
        <v>595</v>
      </c>
      <c r="D271" s="9" t="s">
        <v>198</v>
      </c>
      <c r="E271" s="9" t="s">
        <v>43</v>
      </c>
      <c r="F271" s="9" t="s">
        <v>200</v>
      </c>
      <c r="G271" s="9" t="s">
        <v>179</v>
      </c>
      <c r="H271" s="9" t="s">
        <v>161</v>
      </c>
      <c r="I271" s="9" t="s">
        <v>166</v>
      </c>
    </row>
    <row r="272" spans="1:9" ht="15.75">
      <c r="A272" s="22">
        <v>45414</v>
      </c>
      <c r="B272" t="s">
        <v>207</v>
      </c>
      <c r="C272" s="58" t="s">
        <v>596</v>
      </c>
      <c r="D272" t="s">
        <v>597</v>
      </c>
      <c r="E272" t="s">
        <v>394</v>
      </c>
      <c r="F272" t="s">
        <v>506</v>
      </c>
      <c r="G272" t="s">
        <v>124</v>
      </c>
      <c r="H272" t="s">
        <v>125</v>
      </c>
      <c r="I272" t="s">
        <v>166</v>
      </c>
    </row>
    <row r="273" spans="1:15" s="9" customFormat="1">
      <c r="A273" s="47">
        <v>45414</v>
      </c>
      <c r="B273" s="9" t="s">
        <v>213</v>
      </c>
      <c r="C273" s="9" t="s">
        <v>573</v>
      </c>
      <c r="D273" s="9" t="s">
        <v>383</v>
      </c>
      <c r="E273" s="9" t="s">
        <v>148</v>
      </c>
      <c r="F273" s="9" t="s">
        <v>574</v>
      </c>
      <c r="G273" s="9" t="s">
        <v>124</v>
      </c>
      <c r="H273" s="9" t="s">
        <v>125</v>
      </c>
      <c r="I273" s="9" t="s">
        <v>440</v>
      </c>
    </row>
    <row r="274" spans="1:15">
      <c r="A274" s="22">
        <v>45414</v>
      </c>
      <c r="B274" t="s">
        <v>367</v>
      </c>
      <c r="C274" t="s">
        <v>505</v>
      </c>
      <c r="D274" t="s">
        <v>178</v>
      </c>
      <c r="E274" t="s">
        <v>394</v>
      </c>
      <c r="F274" t="s">
        <v>444</v>
      </c>
      <c r="G274" t="s">
        <v>247</v>
      </c>
      <c r="H274" t="s">
        <v>152</v>
      </c>
      <c r="I274" t="s">
        <v>194</v>
      </c>
    </row>
    <row r="275" spans="1:15">
      <c r="A275" s="22">
        <v>45415</v>
      </c>
      <c r="B275" t="s">
        <v>163</v>
      </c>
      <c r="C275" t="s">
        <v>476</v>
      </c>
      <c r="D275" t="s">
        <v>178</v>
      </c>
      <c r="E275" t="s">
        <v>394</v>
      </c>
      <c r="F275" t="s">
        <v>444</v>
      </c>
      <c r="G275" t="s">
        <v>598</v>
      </c>
      <c r="H275" t="s">
        <v>125</v>
      </c>
      <c r="I275" t="s">
        <v>166</v>
      </c>
    </row>
    <row r="276" spans="1:15">
      <c r="A276" s="22">
        <v>45415</v>
      </c>
      <c r="B276" t="s">
        <v>253</v>
      </c>
      <c r="C276" t="s">
        <v>599</v>
      </c>
      <c r="D276" t="s">
        <v>178</v>
      </c>
      <c r="F276" t="s">
        <v>200</v>
      </c>
      <c r="G276" t="s">
        <v>124</v>
      </c>
      <c r="H276" t="s">
        <v>161</v>
      </c>
      <c r="I276" t="s">
        <v>600</v>
      </c>
    </row>
    <row r="277" spans="1:15" s="9" customFormat="1">
      <c r="A277" s="47">
        <v>45415</v>
      </c>
      <c r="B277" s="9" t="s">
        <v>134</v>
      </c>
      <c r="C277" s="9" t="s">
        <v>601</v>
      </c>
      <c r="D277" s="9" t="s">
        <v>178</v>
      </c>
      <c r="E277" s="9" t="s">
        <v>591</v>
      </c>
      <c r="F277" s="9" t="s">
        <v>173</v>
      </c>
      <c r="G277" s="9" t="s">
        <v>124</v>
      </c>
      <c r="H277" s="9" t="s">
        <v>125</v>
      </c>
      <c r="I277" s="9" t="s">
        <v>166</v>
      </c>
    </row>
    <row r="278" spans="1:15">
      <c r="A278" s="22">
        <v>45415</v>
      </c>
      <c r="B278" t="s">
        <v>134</v>
      </c>
      <c r="C278" t="s">
        <v>602</v>
      </c>
      <c r="D278" t="s">
        <v>329</v>
      </c>
      <c r="E278" t="s">
        <v>594</v>
      </c>
      <c r="F278" t="s">
        <v>123</v>
      </c>
      <c r="G278" t="s">
        <v>124</v>
      </c>
      <c r="H278" t="s">
        <v>125</v>
      </c>
      <c r="I278" t="s">
        <v>166</v>
      </c>
    </row>
    <row r="279" spans="1:15">
      <c r="A279" s="22">
        <v>45415</v>
      </c>
      <c r="B279" t="s">
        <v>126</v>
      </c>
      <c r="C279" t="s">
        <v>543</v>
      </c>
      <c r="D279" t="s">
        <v>329</v>
      </c>
      <c r="E279" t="s">
        <v>199</v>
      </c>
      <c r="F279" t="s">
        <v>200</v>
      </c>
      <c r="G279" t="s">
        <v>179</v>
      </c>
      <c r="H279" t="s">
        <v>125</v>
      </c>
      <c r="I279" t="s">
        <v>166</v>
      </c>
    </row>
    <row r="280" spans="1:15">
      <c r="A280" s="22">
        <v>45415</v>
      </c>
      <c r="B280" t="s">
        <v>146</v>
      </c>
      <c r="C280" t="s">
        <v>558</v>
      </c>
      <c r="D280" t="s">
        <v>329</v>
      </c>
      <c r="E280" t="s">
        <v>394</v>
      </c>
      <c r="F280" t="s">
        <v>587</v>
      </c>
      <c r="G280" t="s">
        <v>145</v>
      </c>
      <c r="H280" t="s">
        <v>125</v>
      </c>
      <c r="I280" t="s">
        <v>166</v>
      </c>
    </row>
    <row r="281" spans="1:15">
      <c r="A281" s="22">
        <v>45415</v>
      </c>
      <c r="B281" t="s">
        <v>146</v>
      </c>
      <c r="C281" t="s">
        <v>479</v>
      </c>
      <c r="D281" t="s">
        <v>178</v>
      </c>
      <c r="E281" t="s">
        <v>203</v>
      </c>
      <c r="F281" t="s">
        <v>525</v>
      </c>
      <c r="G281" t="s">
        <v>124</v>
      </c>
      <c r="H281" t="s">
        <v>125</v>
      </c>
      <c r="I281" t="s">
        <v>366</v>
      </c>
    </row>
    <row r="282" spans="1:15">
      <c r="A282" s="22">
        <v>45415</v>
      </c>
      <c r="B282" t="s">
        <v>186</v>
      </c>
      <c r="C282" t="s">
        <v>603</v>
      </c>
      <c r="D282" t="s">
        <v>329</v>
      </c>
      <c r="E282" t="s">
        <v>132</v>
      </c>
      <c r="F282" t="s">
        <v>200</v>
      </c>
      <c r="G282" t="s">
        <v>247</v>
      </c>
      <c r="H282" t="s">
        <v>125</v>
      </c>
      <c r="I282" t="s">
        <v>166</v>
      </c>
    </row>
    <row r="283" spans="1:15">
      <c r="A283" s="22">
        <v>45415</v>
      </c>
      <c r="B283" t="s">
        <v>130</v>
      </c>
      <c r="C283" t="s">
        <v>604</v>
      </c>
      <c r="D283" t="s">
        <v>329</v>
      </c>
      <c r="E283" t="s">
        <v>518</v>
      </c>
      <c r="F283" t="s">
        <v>200</v>
      </c>
      <c r="G283" t="s">
        <v>137</v>
      </c>
      <c r="H283" t="s">
        <v>125</v>
      </c>
      <c r="I283" t="s">
        <v>366</v>
      </c>
    </row>
    <row r="284" spans="1:15">
      <c r="A284" s="22">
        <v>45415</v>
      </c>
      <c r="B284" t="s">
        <v>213</v>
      </c>
      <c r="C284" t="s">
        <v>605</v>
      </c>
      <c r="D284" t="s">
        <v>178</v>
      </c>
      <c r="E284" t="s">
        <v>591</v>
      </c>
      <c r="F284" t="s">
        <v>123</v>
      </c>
      <c r="G284" t="s">
        <v>124</v>
      </c>
      <c r="H284" t="s">
        <v>125</v>
      </c>
      <c r="I284" t="s">
        <v>166</v>
      </c>
    </row>
    <row r="285" spans="1:15">
      <c r="A285" s="22">
        <v>45415</v>
      </c>
      <c r="B285" s="50" t="s">
        <v>252</v>
      </c>
      <c r="C285" t="s">
        <v>606</v>
      </c>
      <c r="D285" t="s">
        <v>178</v>
      </c>
      <c r="E285" t="s">
        <v>199</v>
      </c>
      <c r="F285" t="s">
        <v>607</v>
      </c>
      <c r="G285" t="s">
        <v>608</v>
      </c>
      <c r="H285" t="s">
        <v>125</v>
      </c>
      <c r="I285" t="s">
        <v>194</v>
      </c>
    </row>
    <row r="286" spans="1:15">
      <c r="A286" s="22">
        <v>45418</v>
      </c>
      <c r="B286" t="s">
        <v>134</v>
      </c>
      <c r="C286" t="s">
        <v>479</v>
      </c>
      <c r="D286" t="s">
        <v>424</v>
      </c>
      <c r="F286" t="s">
        <v>123</v>
      </c>
      <c r="G286" t="s">
        <v>124</v>
      </c>
      <c r="H286" t="s">
        <v>125</v>
      </c>
      <c r="O286" s="63"/>
    </row>
    <row r="287" spans="1:15">
      <c r="A287" s="22">
        <v>45418</v>
      </c>
      <c r="B287" t="s">
        <v>353</v>
      </c>
      <c r="C287" t="s">
        <v>413</v>
      </c>
      <c r="D287" t="s">
        <v>185</v>
      </c>
      <c r="E287" t="s">
        <v>591</v>
      </c>
      <c r="F287" t="s">
        <v>123</v>
      </c>
      <c r="G287" t="s">
        <v>124</v>
      </c>
      <c r="H287" t="s">
        <v>125</v>
      </c>
      <c r="I287" t="s">
        <v>294</v>
      </c>
    </row>
    <row r="288" spans="1:15">
      <c r="A288" s="22">
        <v>45418</v>
      </c>
      <c r="B288" t="s">
        <v>220</v>
      </c>
      <c r="C288" t="s">
        <v>551</v>
      </c>
      <c r="D288" t="s">
        <v>178</v>
      </c>
      <c r="E288" t="s">
        <v>594</v>
      </c>
      <c r="F288" t="s">
        <v>123</v>
      </c>
      <c r="G288" t="s">
        <v>417</v>
      </c>
      <c r="H288" t="s">
        <v>152</v>
      </c>
      <c r="I288" t="s">
        <v>294</v>
      </c>
    </row>
    <row r="289" spans="1:15">
      <c r="A289" s="22">
        <v>45418</v>
      </c>
      <c r="B289" t="s">
        <v>134</v>
      </c>
      <c r="C289" t="s">
        <v>609</v>
      </c>
      <c r="D289" t="s">
        <v>329</v>
      </c>
      <c r="E289" t="s">
        <v>199</v>
      </c>
      <c r="F289" t="s">
        <v>200</v>
      </c>
      <c r="G289" t="s">
        <v>124</v>
      </c>
      <c r="H289" t="s">
        <v>125</v>
      </c>
      <c r="I289" t="s">
        <v>391</v>
      </c>
    </row>
    <row r="290" spans="1:15">
      <c r="A290" s="22">
        <v>45418</v>
      </c>
      <c r="B290" t="s">
        <v>610</v>
      </c>
      <c r="C290" t="s">
        <v>611</v>
      </c>
      <c r="D290" t="s">
        <v>329</v>
      </c>
      <c r="E290" t="s">
        <v>612</v>
      </c>
      <c r="F290" t="s">
        <v>613</v>
      </c>
      <c r="G290" t="s">
        <v>124</v>
      </c>
      <c r="H290" t="s">
        <v>614</v>
      </c>
      <c r="I290" t="s">
        <v>391</v>
      </c>
    </row>
    <row r="291" spans="1:15">
      <c r="A291" s="22">
        <v>45418</v>
      </c>
      <c r="B291" t="s">
        <v>207</v>
      </c>
      <c r="C291" t="s">
        <v>615</v>
      </c>
      <c r="D291" t="s">
        <v>329</v>
      </c>
      <c r="E291" t="s">
        <v>203</v>
      </c>
      <c r="F291" t="s">
        <v>123</v>
      </c>
      <c r="G291" t="s">
        <v>124</v>
      </c>
      <c r="H291" t="s">
        <v>125</v>
      </c>
      <c r="I291" t="s">
        <v>194</v>
      </c>
    </row>
    <row r="292" spans="1:15">
      <c r="A292" s="22"/>
    </row>
    <row r="293" spans="1:15">
      <c r="A293" s="22">
        <v>45419</v>
      </c>
      <c r="B293" t="s">
        <v>504</v>
      </c>
      <c r="C293" t="s">
        <v>407</v>
      </c>
      <c r="D293" t="s">
        <v>216</v>
      </c>
      <c r="E293" t="s">
        <v>616</v>
      </c>
      <c r="F293" t="s">
        <v>617</v>
      </c>
      <c r="G293" t="s">
        <v>417</v>
      </c>
      <c r="H293" t="s">
        <v>397</v>
      </c>
      <c r="I293" t="s">
        <v>618</v>
      </c>
    </row>
    <row r="294" spans="1:15">
      <c r="A294" s="22">
        <v>45419</v>
      </c>
      <c r="B294" t="s">
        <v>619</v>
      </c>
      <c r="C294" t="s">
        <v>620</v>
      </c>
      <c r="D294" t="s">
        <v>41</v>
      </c>
      <c r="E294" t="s">
        <v>621</v>
      </c>
      <c r="F294" t="s">
        <v>495</v>
      </c>
      <c r="G294" t="s">
        <v>137</v>
      </c>
      <c r="H294" t="s">
        <v>125</v>
      </c>
      <c r="I294" t="s">
        <v>618</v>
      </c>
    </row>
    <row r="295" spans="1:15">
      <c r="A295" s="22">
        <v>45419</v>
      </c>
      <c r="B295" t="s">
        <v>622</v>
      </c>
      <c r="C295" t="s">
        <v>623</v>
      </c>
      <c r="D295" t="s">
        <v>178</v>
      </c>
      <c r="E295" t="s">
        <v>624</v>
      </c>
      <c r="F295" t="s">
        <v>625</v>
      </c>
      <c r="G295" t="s">
        <v>137</v>
      </c>
      <c r="H295" t="s">
        <v>155</v>
      </c>
      <c r="I295" t="s">
        <v>618</v>
      </c>
    </row>
    <row r="296" spans="1:15" s="43" customFormat="1">
      <c r="A296" s="59">
        <v>45419</v>
      </c>
      <c r="B296" s="43" t="s">
        <v>626</v>
      </c>
      <c r="C296" s="43" t="s">
        <v>627</v>
      </c>
      <c r="D296" s="43" t="s">
        <v>178</v>
      </c>
      <c r="E296" s="43" t="s">
        <v>621</v>
      </c>
      <c r="F296" s="43" t="s">
        <v>628</v>
      </c>
      <c r="G296" s="43" t="s">
        <v>137</v>
      </c>
      <c r="H296" s="43" t="s">
        <v>125</v>
      </c>
      <c r="I296" s="43" t="s">
        <v>618</v>
      </c>
    </row>
    <row r="297" spans="1:15">
      <c r="A297" s="22">
        <v>45419</v>
      </c>
      <c r="B297" t="s">
        <v>629</v>
      </c>
      <c r="C297" t="s">
        <v>630</v>
      </c>
      <c r="D297" t="s">
        <v>178</v>
      </c>
      <c r="E297" t="s">
        <v>631</v>
      </c>
      <c r="F297" t="s">
        <v>632</v>
      </c>
      <c r="G297" t="s">
        <v>137</v>
      </c>
      <c r="H297" t="s">
        <v>125</v>
      </c>
      <c r="I297" t="s">
        <v>618</v>
      </c>
    </row>
    <row r="298" spans="1:15">
      <c r="A298" s="22">
        <v>45419</v>
      </c>
      <c r="B298" t="s">
        <v>633</v>
      </c>
      <c r="C298" t="s">
        <v>634</v>
      </c>
      <c r="D298" t="s">
        <v>329</v>
      </c>
      <c r="E298" t="s">
        <v>217</v>
      </c>
      <c r="F298" t="s">
        <v>200</v>
      </c>
      <c r="G298" t="s">
        <v>137</v>
      </c>
      <c r="H298" t="s">
        <v>125</v>
      </c>
      <c r="I298" t="s">
        <v>618</v>
      </c>
    </row>
    <row r="299" spans="1:15">
      <c r="A299" s="22">
        <v>45419</v>
      </c>
      <c r="B299" t="s">
        <v>635</v>
      </c>
      <c r="C299" t="s">
        <v>636</v>
      </c>
      <c r="D299" t="s">
        <v>329</v>
      </c>
      <c r="E299" t="s">
        <v>637</v>
      </c>
      <c r="F299" t="s">
        <v>123</v>
      </c>
      <c r="G299" t="s">
        <v>137</v>
      </c>
      <c r="H299" t="s">
        <v>125</v>
      </c>
      <c r="I299" t="s">
        <v>618</v>
      </c>
    </row>
    <row r="300" spans="1:15">
      <c r="A300" s="22"/>
    </row>
    <row r="301" spans="1:15" ht="15.75">
      <c r="A301" s="22">
        <v>45420</v>
      </c>
      <c r="B301" t="s">
        <v>626</v>
      </c>
      <c r="C301" s="60" t="s">
        <v>638</v>
      </c>
      <c r="D301" t="s">
        <v>424</v>
      </c>
      <c r="E301" t="s">
        <v>203</v>
      </c>
      <c r="F301" t="s">
        <v>136</v>
      </c>
      <c r="G301" t="s">
        <v>137</v>
      </c>
      <c r="H301" t="s">
        <v>125</v>
      </c>
      <c r="I301" t="s">
        <v>618</v>
      </c>
    </row>
    <row r="302" spans="1:15">
      <c r="A302" s="22">
        <v>45420</v>
      </c>
      <c r="B302" t="s">
        <v>639</v>
      </c>
      <c r="C302" t="s">
        <v>640</v>
      </c>
      <c r="D302" t="s">
        <v>178</v>
      </c>
      <c r="F302" t="s">
        <v>495</v>
      </c>
      <c r="G302" t="s">
        <v>396</v>
      </c>
      <c r="H302" t="s">
        <v>161</v>
      </c>
      <c r="O302" s="64"/>
    </row>
    <row r="303" spans="1:15" s="43" customFormat="1">
      <c r="A303" s="59">
        <v>45420</v>
      </c>
      <c r="B303" s="43" t="s">
        <v>641</v>
      </c>
      <c r="C303" s="43" t="s">
        <v>642</v>
      </c>
      <c r="D303" s="43" t="s">
        <v>178</v>
      </c>
      <c r="E303" s="43" t="s">
        <v>394</v>
      </c>
      <c r="F303" s="43" t="s">
        <v>643</v>
      </c>
      <c r="G303" s="43" t="s">
        <v>396</v>
      </c>
      <c r="H303" s="43" t="s">
        <v>161</v>
      </c>
      <c r="I303" s="43" t="s">
        <v>618</v>
      </c>
    </row>
    <row r="304" spans="1:15">
      <c r="A304" s="22">
        <v>45420</v>
      </c>
      <c r="B304" t="s">
        <v>644</v>
      </c>
      <c r="C304" t="s">
        <v>645</v>
      </c>
      <c r="D304" t="s">
        <v>178</v>
      </c>
      <c r="E304" t="s">
        <v>43</v>
      </c>
      <c r="F304" t="s">
        <v>646</v>
      </c>
      <c r="G304" t="s">
        <v>137</v>
      </c>
      <c r="H304" t="s">
        <v>125</v>
      </c>
      <c r="I304" t="s">
        <v>647</v>
      </c>
    </row>
    <row r="305" spans="1:9">
      <c r="A305" s="22">
        <v>45420</v>
      </c>
      <c r="B305" t="s">
        <v>648</v>
      </c>
      <c r="C305" t="s">
        <v>649</v>
      </c>
      <c r="D305" t="s">
        <v>178</v>
      </c>
      <c r="E305" t="s">
        <v>591</v>
      </c>
      <c r="F305" t="s">
        <v>650</v>
      </c>
      <c r="G305" t="s">
        <v>137</v>
      </c>
      <c r="H305" t="s">
        <v>155</v>
      </c>
      <c r="I305" t="s">
        <v>651</v>
      </c>
    </row>
    <row r="306" spans="1:9">
      <c r="A306" s="22">
        <v>45420</v>
      </c>
      <c r="B306" t="s">
        <v>652</v>
      </c>
      <c r="C306" t="s">
        <v>653</v>
      </c>
      <c r="D306" t="s">
        <v>329</v>
      </c>
      <c r="E306" t="s">
        <v>612</v>
      </c>
      <c r="F306" t="s">
        <v>654</v>
      </c>
      <c r="G306" t="s">
        <v>137</v>
      </c>
      <c r="H306" t="s">
        <v>614</v>
      </c>
      <c r="I306" t="s">
        <v>391</v>
      </c>
    </row>
    <row r="307" spans="1:9" s="44" customFormat="1">
      <c r="A307" s="61">
        <v>45420</v>
      </c>
      <c r="B307" s="44" t="s">
        <v>655</v>
      </c>
      <c r="C307" s="44" t="s">
        <v>623</v>
      </c>
      <c r="D307" s="44" t="s">
        <v>656</v>
      </c>
      <c r="E307" s="44" t="s">
        <v>559</v>
      </c>
      <c r="F307" s="44" t="s">
        <v>123</v>
      </c>
      <c r="G307" s="44" t="s">
        <v>137</v>
      </c>
      <c r="H307" s="44" t="s">
        <v>397</v>
      </c>
      <c r="I307" s="44" t="s">
        <v>618</v>
      </c>
    </row>
    <row r="308" spans="1:9" s="45" customFormat="1">
      <c r="A308" s="62">
        <v>45420</v>
      </c>
      <c r="B308" s="45" t="s">
        <v>657</v>
      </c>
      <c r="C308" s="45" t="s">
        <v>658</v>
      </c>
      <c r="D308" s="45" t="s">
        <v>659</v>
      </c>
      <c r="E308" s="45" t="s">
        <v>660</v>
      </c>
      <c r="F308" s="45" t="s">
        <v>661</v>
      </c>
      <c r="G308" s="45" t="s">
        <v>396</v>
      </c>
      <c r="H308" s="45" t="s">
        <v>125</v>
      </c>
      <c r="I308" s="45" t="s">
        <v>618</v>
      </c>
    </row>
    <row r="309" spans="1:9">
      <c r="A309" s="22">
        <v>45420</v>
      </c>
      <c r="B309" t="s">
        <v>662</v>
      </c>
      <c r="C309" t="s">
        <v>258</v>
      </c>
      <c r="D309" t="s">
        <v>663</v>
      </c>
      <c r="E309" t="s">
        <v>591</v>
      </c>
      <c r="F309" t="s">
        <v>123</v>
      </c>
      <c r="G309" t="s">
        <v>137</v>
      </c>
      <c r="H309" t="s">
        <v>125</v>
      </c>
    </row>
    <row r="310" spans="1:9">
      <c r="A310" s="22">
        <v>45420</v>
      </c>
      <c r="B310" t="s">
        <v>664</v>
      </c>
      <c r="C310" t="s">
        <v>665</v>
      </c>
      <c r="D310" t="s">
        <v>663</v>
      </c>
      <c r="E310" t="s">
        <v>666</v>
      </c>
      <c r="F310" t="s">
        <v>667</v>
      </c>
      <c r="G310" t="s">
        <v>137</v>
      </c>
      <c r="H310" t="s">
        <v>125</v>
      </c>
      <c r="I310" t="s">
        <v>618</v>
      </c>
    </row>
    <row r="311" spans="1:9">
      <c r="A311" s="8"/>
    </row>
    <row r="312" spans="1:9">
      <c r="A312" s="22">
        <v>45421</v>
      </c>
      <c r="B312" t="s">
        <v>668</v>
      </c>
      <c r="C312" t="s">
        <v>669</v>
      </c>
      <c r="D312" t="s">
        <v>424</v>
      </c>
      <c r="E312" t="s">
        <v>670</v>
      </c>
      <c r="F312" t="s">
        <v>671</v>
      </c>
      <c r="G312" t="s">
        <v>137</v>
      </c>
      <c r="H312" t="s">
        <v>397</v>
      </c>
      <c r="I312" t="s">
        <v>618</v>
      </c>
    </row>
    <row r="313" spans="1:9">
      <c r="A313" s="22">
        <v>45421</v>
      </c>
      <c r="B313" t="s">
        <v>619</v>
      </c>
      <c r="C313" t="s">
        <v>672</v>
      </c>
      <c r="D313" t="s">
        <v>178</v>
      </c>
      <c r="E313" t="s">
        <v>660</v>
      </c>
      <c r="F313" t="s">
        <v>673</v>
      </c>
      <c r="G313" t="s">
        <v>137</v>
      </c>
      <c r="H313" t="s">
        <v>125</v>
      </c>
    </row>
    <row r="314" spans="1:9">
      <c r="A314" s="22">
        <v>45421</v>
      </c>
      <c r="B314" t="s">
        <v>674</v>
      </c>
      <c r="C314" t="s">
        <v>675</v>
      </c>
      <c r="D314" t="s">
        <v>676</v>
      </c>
      <c r="E314" t="s">
        <v>419</v>
      </c>
      <c r="F314" t="s">
        <v>123</v>
      </c>
      <c r="G314" t="s">
        <v>396</v>
      </c>
      <c r="H314" t="s">
        <v>125</v>
      </c>
      <c r="I314" t="s">
        <v>677</v>
      </c>
    </row>
    <row r="315" spans="1:9">
      <c r="A315" s="22">
        <v>45421</v>
      </c>
      <c r="B315" t="s">
        <v>678</v>
      </c>
      <c r="C315" t="s">
        <v>679</v>
      </c>
      <c r="D315" t="s">
        <v>680</v>
      </c>
      <c r="E315" t="s">
        <v>681</v>
      </c>
      <c r="F315" t="s">
        <v>495</v>
      </c>
      <c r="G315" t="s">
        <v>396</v>
      </c>
      <c r="H315" t="s">
        <v>236</v>
      </c>
      <c r="I315" t="s">
        <v>682</v>
      </c>
    </row>
    <row r="316" spans="1:9">
      <c r="A316" s="22">
        <v>45421</v>
      </c>
      <c r="B316" t="s">
        <v>683</v>
      </c>
      <c r="C316" t="s">
        <v>684</v>
      </c>
      <c r="D316" t="s">
        <v>329</v>
      </c>
      <c r="E316" t="s">
        <v>685</v>
      </c>
      <c r="F316" t="s">
        <v>136</v>
      </c>
      <c r="G316" t="s">
        <v>686</v>
      </c>
      <c r="H316" t="s">
        <v>161</v>
      </c>
      <c r="I316" t="s">
        <v>682</v>
      </c>
    </row>
    <row r="317" spans="1:9">
      <c r="A317" s="22">
        <v>45421</v>
      </c>
      <c r="B317" t="s">
        <v>687</v>
      </c>
      <c r="C317" t="s">
        <v>688</v>
      </c>
      <c r="D317" t="s">
        <v>329</v>
      </c>
      <c r="E317" t="s">
        <v>689</v>
      </c>
      <c r="F317" t="s">
        <v>690</v>
      </c>
      <c r="G317" t="s">
        <v>137</v>
      </c>
      <c r="H317" t="s">
        <v>125</v>
      </c>
    </row>
    <row r="318" spans="1:9">
      <c r="A318" s="22">
        <v>45421</v>
      </c>
      <c r="B318" t="s">
        <v>633</v>
      </c>
      <c r="C318" t="s">
        <v>691</v>
      </c>
      <c r="D318" t="s">
        <v>329</v>
      </c>
      <c r="E318" t="s">
        <v>612</v>
      </c>
      <c r="F318" t="s">
        <v>692</v>
      </c>
      <c r="G318" t="s">
        <v>137</v>
      </c>
      <c r="H318" t="s">
        <v>125</v>
      </c>
    </row>
    <row r="319" spans="1:9" s="44" customFormat="1">
      <c r="A319" s="61">
        <v>45421</v>
      </c>
      <c r="B319" s="44" t="s">
        <v>693</v>
      </c>
      <c r="C319" s="44" t="s">
        <v>258</v>
      </c>
      <c r="D319" s="44" t="s">
        <v>663</v>
      </c>
      <c r="E319" s="44" t="s">
        <v>591</v>
      </c>
      <c r="F319" s="44" t="s">
        <v>123</v>
      </c>
      <c r="G319" s="44" t="s">
        <v>137</v>
      </c>
      <c r="H319" s="44" t="s">
        <v>125</v>
      </c>
      <c r="I319" s="44" t="s">
        <v>618</v>
      </c>
    </row>
    <row r="321" spans="1:9">
      <c r="A321" s="22">
        <v>45422</v>
      </c>
      <c r="B321" t="s">
        <v>694</v>
      </c>
      <c r="C321" t="s">
        <v>627</v>
      </c>
      <c r="D321" t="s">
        <v>178</v>
      </c>
      <c r="E321" t="s">
        <v>689</v>
      </c>
      <c r="F321" t="s">
        <v>628</v>
      </c>
      <c r="G321" t="s">
        <v>396</v>
      </c>
      <c r="H321" t="s">
        <v>397</v>
      </c>
      <c r="I321" t="s">
        <v>618</v>
      </c>
    </row>
    <row r="322" spans="1:9" s="9" customFormat="1">
      <c r="A322" s="47">
        <v>45422</v>
      </c>
      <c r="B322" s="9" t="s">
        <v>695</v>
      </c>
      <c r="C322" s="9" t="s">
        <v>696</v>
      </c>
      <c r="D322" s="9" t="s">
        <v>178</v>
      </c>
      <c r="E322" s="9" t="s">
        <v>697</v>
      </c>
      <c r="F322" s="9" t="s">
        <v>643</v>
      </c>
      <c r="G322" s="9" t="s">
        <v>686</v>
      </c>
      <c r="H322" s="9" t="s">
        <v>161</v>
      </c>
      <c r="I322" s="9" t="s">
        <v>618</v>
      </c>
    </row>
    <row r="323" spans="1:9">
      <c r="A323" s="22">
        <v>45422</v>
      </c>
      <c r="B323" t="s">
        <v>698</v>
      </c>
      <c r="C323" t="s">
        <v>699</v>
      </c>
      <c r="D323" t="s">
        <v>178</v>
      </c>
      <c r="E323" t="s">
        <v>548</v>
      </c>
      <c r="F323" t="s">
        <v>495</v>
      </c>
      <c r="G323" t="s">
        <v>137</v>
      </c>
      <c r="H323" t="s">
        <v>161</v>
      </c>
      <c r="I323" t="s">
        <v>700</v>
      </c>
    </row>
    <row r="324" spans="1:9">
      <c r="A324" s="22">
        <v>45422</v>
      </c>
      <c r="B324" t="s">
        <v>701</v>
      </c>
      <c r="C324" t="s">
        <v>684</v>
      </c>
      <c r="D324" t="s">
        <v>329</v>
      </c>
      <c r="E324" t="s">
        <v>685</v>
      </c>
      <c r="F324" t="s">
        <v>136</v>
      </c>
      <c r="G324" t="s">
        <v>686</v>
      </c>
      <c r="H324" t="s">
        <v>161</v>
      </c>
      <c r="I324" t="s">
        <v>700</v>
      </c>
    </row>
    <row r="325" spans="1:9">
      <c r="A325" s="22">
        <v>45422</v>
      </c>
      <c r="B325" t="s">
        <v>702</v>
      </c>
      <c r="C325" t="s">
        <v>703</v>
      </c>
      <c r="D325" t="s">
        <v>329</v>
      </c>
      <c r="E325" t="s">
        <v>548</v>
      </c>
      <c r="F325" t="s">
        <v>495</v>
      </c>
      <c r="G325" t="s">
        <v>137</v>
      </c>
      <c r="H325" t="s">
        <v>397</v>
      </c>
      <c r="I325" t="s">
        <v>682</v>
      </c>
    </row>
    <row r="326" spans="1:9">
      <c r="A326" s="22">
        <v>45422</v>
      </c>
      <c r="B326" t="s">
        <v>704</v>
      </c>
      <c r="C326" t="s">
        <v>558</v>
      </c>
      <c r="D326" t="s">
        <v>680</v>
      </c>
      <c r="E326" t="s">
        <v>203</v>
      </c>
      <c r="F326" t="s">
        <v>705</v>
      </c>
      <c r="G326" t="s">
        <v>137</v>
      </c>
      <c r="H326" t="s">
        <v>125</v>
      </c>
      <c r="I326" t="s">
        <v>618</v>
      </c>
    </row>
    <row r="327" spans="1:9">
      <c r="A327" s="22"/>
    </row>
    <row r="328" spans="1:9">
      <c r="A328" s="22">
        <v>45425</v>
      </c>
      <c r="B328" t="s">
        <v>706</v>
      </c>
      <c r="C328" t="s">
        <v>707</v>
      </c>
      <c r="D328" t="s">
        <v>708</v>
      </c>
      <c r="E328" t="s">
        <v>689</v>
      </c>
      <c r="F328" t="s">
        <v>709</v>
      </c>
      <c r="G328" t="s">
        <v>124</v>
      </c>
      <c r="H328" t="s">
        <v>614</v>
      </c>
      <c r="I328" t="s">
        <v>618</v>
      </c>
    </row>
    <row r="329" spans="1:9">
      <c r="A329" s="22">
        <v>45425</v>
      </c>
      <c r="B329" t="s">
        <v>619</v>
      </c>
      <c r="C329" t="s">
        <v>638</v>
      </c>
      <c r="D329" t="s">
        <v>708</v>
      </c>
      <c r="E329" t="s">
        <v>548</v>
      </c>
      <c r="F329" t="s">
        <v>495</v>
      </c>
      <c r="G329" t="s">
        <v>137</v>
      </c>
      <c r="H329" t="s">
        <v>125</v>
      </c>
      <c r="I329" t="s">
        <v>618</v>
      </c>
    </row>
    <row r="330" spans="1:9">
      <c r="A330" s="22">
        <v>45425</v>
      </c>
      <c r="B330" t="s">
        <v>710</v>
      </c>
      <c r="C330" t="s">
        <v>699</v>
      </c>
      <c r="D330" t="s">
        <v>178</v>
      </c>
      <c r="E330" t="s">
        <v>548</v>
      </c>
      <c r="F330" t="s">
        <v>495</v>
      </c>
      <c r="G330" t="s">
        <v>137</v>
      </c>
      <c r="H330" t="s">
        <v>711</v>
      </c>
      <c r="I330" t="s">
        <v>618</v>
      </c>
    </row>
    <row r="331" spans="1:9">
      <c r="A331" s="22">
        <v>45425</v>
      </c>
      <c r="B331" t="s">
        <v>712</v>
      </c>
      <c r="C331" t="s">
        <v>713</v>
      </c>
      <c r="D331" t="s">
        <v>178</v>
      </c>
      <c r="E331" t="s">
        <v>697</v>
      </c>
      <c r="F331" t="s">
        <v>714</v>
      </c>
      <c r="G331" t="s">
        <v>137</v>
      </c>
      <c r="H331" t="s">
        <v>397</v>
      </c>
      <c r="I331" t="s">
        <v>618</v>
      </c>
    </row>
    <row r="332" spans="1:9">
      <c r="A332" s="22">
        <v>45425</v>
      </c>
      <c r="B332" t="s">
        <v>715</v>
      </c>
      <c r="C332" t="s">
        <v>716</v>
      </c>
      <c r="D332" t="s">
        <v>680</v>
      </c>
      <c r="F332" t="s">
        <v>717</v>
      </c>
      <c r="G332" t="s">
        <v>137</v>
      </c>
      <c r="H332" t="s">
        <v>155</v>
      </c>
    </row>
    <row r="333" spans="1:9">
      <c r="A333" s="22">
        <v>45425</v>
      </c>
      <c r="B333" t="s">
        <v>718</v>
      </c>
      <c r="C333" t="s">
        <v>601</v>
      </c>
      <c r="D333" t="s">
        <v>276</v>
      </c>
      <c r="E333" t="s">
        <v>685</v>
      </c>
      <c r="F333" t="s">
        <v>136</v>
      </c>
      <c r="G333" t="s">
        <v>137</v>
      </c>
      <c r="H333" t="s">
        <v>125</v>
      </c>
      <c r="I333" t="s">
        <v>618</v>
      </c>
    </row>
    <row r="334" spans="1:9">
      <c r="A334" s="22">
        <v>45425</v>
      </c>
      <c r="B334" t="s">
        <v>719</v>
      </c>
      <c r="C334" t="s">
        <v>720</v>
      </c>
      <c r="D334" t="s">
        <v>375</v>
      </c>
      <c r="E334" t="s">
        <v>689</v>
      </c>
      <c r="F334" t="s">
        <v>495</v>
      </c>
      <c r="G334" t="s">
        <v>137</v>
      </c>
      <c r="H334" t="s">
        <v>155</v>
      </c>
      <c r="I334" t="s">
        <v>618</v>
      </c>
    </row>
    <row r="336" spans="1:9">
      <c r="A336" s="22">
        <v>45426</v>
      </c>
      <c r="B336" t="s">
        <v>721</v>
      </c>
      <c r="C336" t="s">
        <v>722</v>
      </c>
      <c r="D336" t="s">
        <v>708</v>
      </c>
      <c r="G336" t="s">
        <v>137</v>
      </c>
      <c r="H336" t="s">
        <v>125</v>
      </c>
      <c r="I336" t="s">
        <v>723</v>
      </c>
    </row>
    <row r="337" spans="1:9">
      <c r="A337" s="22">
        <v>45426</v>
      </c>
      <c r="B337" t="s">
        <v>724</v>
      </c>
      <c r="C337" t="s">
        <v>421</v>
      </c>
      <c r="D337" t="s">
        <v>708</v>
      </c>
      <c r="E337" t="s">
        <v>689</v>
      </c>
      <c r="F337" t="s">
        <v>495</v>
      </c>
      <c r="G337" t="s">
        <v>396</v>
      </c>
      <c r="H337" t="s">
        <v>161</v>
      </c>
      <c r="I337" t="s">
        <v>618</v>
      </c>
    </row>
    <row r="338" spans="1:9">
      <c r="A338" s="22">
        <v>45426</v>
      </c>
      <c r="B338" t="s">
        <v>725</v>
      </c>
      <c r="C338" t="s">
        <v>726</v>
      </c>
      <c r="D338" t="s">
        <v>727</v>
      </c>
      <c r="E338" t="s">
        <v>728</v>
      </c>
      <c r="F338" t="s">
        <v>123</v>
      </c>
      <c r="G338" t="s">
        <v>137</v>
      </c>
      <c r="H338" t="s">
        <v>614</v>
      </c>
      <c r="I338" t="s">
        <v>618</v>
      </c>
    </row>
    <row r="339" spans="1:9">
      <c r="A339" s="22">
        <v>45426</v>
      </c>
      <c r="B339" t="s">
        <v>729</v>
      </c>
      <c r="C339" t="s">
        <v>730</v>
      </c>
      <c r="D339" t="s">
        <v>178</v>
      </c>
      <c r="F339" t="s">
        <v>731</v>
      </c>
      <c r="G339" t="s">
        <v>137</v>
      </c>
      <c r="H339" t="s">
        <v>125</v>
      </c>
      <c r="I339" t="s">
        <v>732</v>
      </c>
    </row>
    <row r="340" spans="1:9" s="44" customFormat="1">
      <c r="A340" s="61">
        <v>45426</v>
      </c>
      <c r="B340" s="44" t="s">
        <v>712</v>
      </c>
      <c r="C340" s="44" t="s">
        <v>733</v>
      </c>
      <c r="D340" s="44" t="s">
        <v>178</v>
      </c>
      <c r="E340" s="44" t="s">
        <v>734</v>
      </c>
      <c r="F340" s="44" t="s">
        <v>735</v>
      </c>
      <c r="G340" s="44" t="s">
        <v>137</v>
      </c>
      <c r="H340" s="44" t="s">
        <v>125</v>
      </c>
      <c r="I340" s="44" t="s">
        <v>618</v>
      </c>
    </row>
    <row r="341" spans="1:9">
      <c r="A341" s="22">
        <v>45426</v>
      </c>
      <c r="B341" t="s">
        <v>736</v>
      </c>
      <c r="C341" t="s">
        <v>737</v>
      </c>
      <c r="D341" t="s">
        <v>178</v>
      </c>
      <c r="F341" t="s">
        <v>646</v>
      </c>
      <c r="G341" t="s">
        <v>137</v>
      </c>
      <c r="H341" t="s">
        <v>738</v>
      </c>
      <c r="I341" t="s">
        <v>723</v>
      </c>
    </row>
    <row r="342" spans="1:9" s="44" customFormat="1">
      <c r="A342" s="61">
        <v>45426</v>
      </c>
      <c r="B342" s="44" t="s">
        <v>739</v>
      </c>
      <c r="C342" s="44" t="s">
        <v>740</v>
      </c>
      <c r="D342" s="44" t="s">
        <v>741</v>
      </c>
      <c r="E342" s="44" t="s">
        <v>697</v>
      </c>
      <c r="F342" s="44" t="s">
        <v>643</v>
      </c>
      <c r="G342" s="44" t="s">
        <v>742</v>
      </c>
      <c r="H342" s="44" t="s">
        <v>397</v>
      </c>
      <c r="I342" s="44" t="s">
        <v>618</v>
      </c>
    </row>
    <row r="343" spans="1:9">
      <c r="A343" s="22">
        <v>45426</v>
      </c>
      <c r="B343" t="s">
        <v>743</v>
      </c>
      <c r="C343" t="s">
        <v>675</v>
      </c>
      <c r="D343" t="s">
        <v>198</v>
      </c>
      <c r="E343" t="s">
        <v>419</v>
      </c>
      <c r="F343" t="s">
        <v>123</v>
      </c>
      <c r="G343" t="s">
        <v>137</v>
      </c>
      <c r="H343" t="s">
        <v>125</v>
      </c>
      <c r="I343" t="s">
        <v>618</v>
      </c>
    </row>
    <row r="344" spans="1:9">
      <c r="A344" s="22">
        <v>45426</v>
      </c>
      <c r="B344" t="s">
        <v>744</v>
      </c>
      <c r="C344" t="s">
        <v>258</v>
      </c>
      <c r="D344" t="s">
        <v>290</v>
      </c>
      <c r="E344" t="s">
        <v>734</v>
      </c>
      <c r="F344" t="s">
        <v>123</v>
      </c>
      <c r="G344" t="s">
        <v>742</v>
      </c>
      <c r="H344" t="s">
        <v>161</v>
      </c>
      <c r="I344" t="s">
        <v>618</v>
      </c>
    </row>
    <row r="345" spans="1:9">
      <c r="A345" s="22">
        <v>45426</v>
      </c>
      <c r="B345" t="s">
        <v>745</v>
      </c>
      <c r="C345" t="s">
        <v>623</v>
      </c>
      <c r="D345" t="s">
        <v>276</v>
      </c>
      <c r="E345" t="s">
        <v>559</v>
      </c>
      <c r="F345" t="s">
        <v>123</v>
      </c>
      <c r="G345" t="s">
        <v>742</v>
      </c>
      <c r="H345" t="s">
        <v>397</v>
      </c>
      <c r="I345" t="s">
        <v>723</v>
      </c>
    </row>
    <row r="346" spans="1:9">
      <c r="A346" s="22">
        <v>45426</v>
      </c>
      <c r="B346" t="s">
        <v>633</v>
      </c>
      <c r="C346" t="s">
        <v>746</v>
      </c>
      <c r="D346" t="s">
        <v>329</v>
      </c>
      <c r="E346" t="s">
        <v>747</v>
      </c>
      <c r="F346" t="s">
        <v>495</v>
      </c>
      <c r="G346" t="s">
        <v>742</v>
      </c>
      <c r="H346" t="s">
        <v>125</v>
      </c>
      <c r="I346" t="s">
        <v>748</v>
      </c>
    </row>
    <row r="347" spans="1:9">
      <c r="A347" s="22">
        <v>45426</v>
      </c>
      <c r="B347" t="s">
        <v>749</v>
      </c>
      <c r="C347" t="s">
        <v>750</v>
      </c>
      <c r="D347" t="s">
        <v>329</v>
      </c>
      <c r="F347" t="s">
        <v>495</v>
      </c>
      <c r="G347" t="s">
        <v>137</v>
      </c>
      <c r="H347" t="s">
        <v>397</v>
      </c>
      <c r="I347" t="s">
        <v>682</v>
      </c>
    </row>
    <row r="349" spans="1:9">
      <c r="A349" s="22">
        <v>45427</v>
      </c>
      <c r="B349" t="s">
        <v>629</v>
      </c>
      <c r="C349" t="s">
        <v>121</v>
      </c>
      <c r="D349" t="s">
        <v>172</v>
      </c>
      <c r="E349" t="s">
        <v>203</v>
      </c>
      <c r="F349" t="s">
        <v>123</v>
      </c>
      <c r="G349" t="s">
        <v>137</v>
      </c>
      <c r="H349" t="s">
        <v>125</v>
      </c>
      <c r="I349" t="s">
        <v>618</v>
      </c>
    </row>
    <row r="350" spans="1:9">
      <c r="A350" s="22">
        <v>45427</v>
      </c>
      <c r="B350" t="s">
        <v>751</v>
      </c>
      <c r="C350" t="s">
        <v>733</v>
      </c>
      <c r="D350" t="s">
        <v>178</v>
      </c>
      <c r="E350" t="s">
        <v>734</v>
      </c>
      <c r="F350" t="s">
        <v>752</v>
      </c>
      <c r="G350" t="s">
        <v>396</v>
      </c>
      <c r="H350" t="s">
        <v>397</v>
      </c>
      <c r="I350" t="s">
        <v>294</v>
      </c>
    </row>
    <row r="351" spans="1:9">
      <c r="A351" s="22">
        <v>45427</v>
      </c>
      <c r="B351" t="s">
        <v>753</v>
      </c>
      <c r="C351" t="s">
        <v>630</v>
      </c>
      <c r="D351" t="s">
        <v>178</v>
      </c>
      <c r="E351" t="s">
        <v>697</v>
      </c>
      <c r="F351" t="s">
        <v>632</v>
      </c>
      <c r="G351" t="s">
        <v>396</v>
      </c>
      <c r="H351" t="s">
        <v>125</v>
      </c>
      <c r="I351" t="s">
        <v>682</v>
      </c>
    </row>
    <row r="352" spans="1:9">
      <c r="A352" s="22">
        <v>45427</v>
      </c>
      <c r="B352" t="s">
        <v>754</v>
      </c>
      <c r="C352" t="s">
        <v>755</v>
      </c>
      <c r="D352" t="s">
        <v>659</v>
      </c>
      <c r="E352" t="s">
        <v>685</v>
      </c>
      <c r="F352" t="s">
        <v>136</v>
      </c>
      <c r="G352" t="s">
        <v>137</v>
      </c>
      <c r="H352" t="s">
        <v>397</v>
      </c>
      <c r="I352" t="s">
        <v>294</v>
      </c>
    </row>
    <row r="354" spans="1:9">
      <c r="A354" s="22">
        <v>45428</v>
      </c>
      <c r="B354" t="s">
        <v>644</v>
      </c>
      <c r="C354" t="s">
        <v>638</v>
      </c>
      <c r="D354" t="s">
        <v>388</v>
      </c>
      <c r="E354" t="s">
        <v>548</v>
      </c>
      <c r="F354" t="s">
        <v>189</v>
      </c>
      <c r="G354" t="s">
        <v>396</v>
      </c>
      <c r="H354" t="s">
        <v>125</v>
      </c>
      <c r="I354" t="s">
        <v>756</v>
      </c>
    </row>
    <row r="355" spans="1:9">
      <c r="A355" s="22">
        <v>45428</v>
      </c>
      <c r="B355" t="s">
        <v>757</v>
      </c>
      <c r="D355" t="s">
        <v>758</v>
      </c>
      <c r="E355" t="s">
        <v>419</v>
      </c>
      <c r="F355" t="s">
        <v>136</v>
      </c>
      <c r="G355" t="s">
        <v>137</v>
      </c>
      <c r="H355" t="s">
        <v>125</v>
      </c>
      <c r="I355" t="s">
        <v>618</v>
      </c>
    </row>
    <row r="356" spans="1:9">
      <c r="A356" s="22">
        <v>45428</v>
      </c>
      <c r="B356" t="s">
        <v>163</v>
      </c>
      <c r="C356" t="s">
        <v>759</v>
      </c>
      <c r="D356" t="s">
        <v>758</v>
      </c>
      <c r="E356" t="s">
        <v>734</v>
      </c>
      <c r="F356" t="s">
        <v>136</v>
      </c>
      <c r="G356" t="s">
        <v>137</v>
      </c>
      <c r="H356" t="s">
        <v>125</v>
      </c>
      <c r="I356" t="s">
        <v>618</v>
      </c>
    </row>
    <row r="357" spans="1:9">
      <c r="A357" s="22">
        <v>45428</v>
      </c>
      <c r="B357" t="s">
        <v>760</v>
      </c>
      <c r="C357" t="s">
        <v>642</v>
      </c>
      <c r="D357" t="s">
        <v>178</v>
      </c>
      <c r="E357" t="s">
        <v>697</v>
      </c>
      <c r="F357" t="s">
        <v>761</v>
      </c>
      <c r="G357" t="s">
        <v>762</v>
      </c>
      <c r="H357" t="s">
        <v>161</v>
      </c>
      <c r="I357" t="s">
        <v>294</v>
      </c>
    </row>
    <row r="358" spans="1:9">
      <c r="A358" s="22">
        <v>45428</v>
      </c>
      <c r="B358" t="s">
        <v>763</v>
      </c>
      <c r="C358" t="s">
        <v>421</v>
      </c>
      <c r="D358" t="s">
        <v>178</v>
      </c>
      <c r="E358" t="s">
        <v>548</v>
      </c>
      <c r="F358" t="s">
        <v>764</v>
      </c>
      <c r="G358" t="s">
        <v>137</v>
      </c>
      <c r="H358" t="s">
        <v>155</v>
      </c>
      <c r="I358" t="s">
        <v>497</v>
      </c>
    </row>
    <row r="359" spans="1:9">
      <c r="A359" s="22">
        <v>45428</v>
      </c>
      <c r="B359" t="s">
        <v>765</v>
      </c>
      <c r="C359" t="s">
        <v>737</v>
      </c>
      <c r="D359" t="s">
        <v>178</v>
      </c>
      <c r="E359" t="s">
        <v>689</v>
      </c>
      <c r="F359" t="s">
        <v>646</v>
      </c>
      <c r="G359" t="s">
        <v>137</v>
      </c>
      <c r="H359" t="s">
        <v>738</v>
      </c>
      <c r="I359" t="s">
        <v>682</v>
      </c>
    </row>
    <row r="360" spans="1:9">
      <c r="A360" s="22">
        <v>45428</v>
      </c>
      <c r="B360" t="s">
        <v>766</v>
      </c>
      <c r="C360" t="s">
        <v>623</v>
      </c>
      <c r="D360" t="s">
        <v>276</v>
      </c>
      <c r="E360" t="s">
        <v>685</v>
      </c>
      <c r="F360" t="s">
        <v>136</v>
      </c>
      <c r="G360" t="s">
        <v>396</v>
      </c>
      <c r="H360" t="s">
        <v>397</v>
      </c>
      <c r="I360" t="s">
        <v>294</v>
      </c>
    </row>
    <row r="361" spans="1:9">
      <c r="A361" s="22">
        <v>45428</v>
      </c>
      <c r="B361" t="s">
        <v>767</v>
      </c>
      <c r="C361" t="s">
        <v>768</v>
      </c>
      <c r="D361" t="s">
        <v>299</v>
      </c>
      <c r="E361" t="s">
        <v>769</v>
      </c>
      <c r="F361" t="s">
        <v>495</v>
      </c>
      <c r="G361" t="s">
        <v>137</v>
      </c>
      <c r="H361" t="s">
        <v>125</v>
      </c>
      <c r="I361" t="s">
        <v>294</v>
      </c>
    </row>
    <row r="362" spans="1:9">
      <c r="A362" s="22"/>
    </row>
    <row r="363" spans="1:9">
      <c r="A363" s="22">
        <v>45429</v>
      </c>
      <c r="B363" t="s">
        <v>644</v>
      </c>
      <c r="C363" t="s">
        <v>707</v>
      </c>
      <c r="D363" t="s">
        <v>178</v>
      </c>
      <c r="E363" t="s">
        <v>666</v>
      </c>
      <c r="F363" t="s">
        <v>770</v>
      </c>
      <c r="G363" t="s">
        <v>137</v>
      </c>
      <c r="H363" t="s">
        <v>125</v>
      </c>
      <c r="I363" t="s">
        <v>682</v>
      </c>
    </row>
    <row r="364" spans="1:9">
      <c r="A364" s="22">
        <v>45429</v>
      </c>
      <c r="B364" t="s">
        <v>771</v>
      </c>
      <c r="C364" t="s">
        <v>772</v>
      </c>
      <c r="D364" t="s">
        <v>178</v>
      </c>
      <c r="E364" t="s">
        <v>685</v>
      </c>
      <c r="F364" t="s">
        <v>773</v>
      </c>
      <c r="G364" t="s">
        <v>124</v>
      </c>
      <c r="H364" t="s">
        <v>125</v>
      </c>
      <c r="I364" t="s">
        <v>618</v>
      </c>
    </row>
    <row r="365" spans="1:9">
      <c r="A365" s="22">
        <v>45429</v>
      </c>
      <c r="B365" t="s">
        <v>629</v>
      </c>
      <c r="C365" t="s">
        <v>630</v>
      </c>
      <c r="D365" t="s">
        <v>178</v>
      </c>
      <c r="E365" t="s">
        <v>697</v>
      </c>
      <c r="F365" t="s">
        <v>774</v>
      </c>
      <c r="G365" t="s">
        <v>396</v>
      </c>
      <c r="H365" t="s">
        <v>125</v>
      </c>
      <c r="I365" t="s">
        <v>618</v>
      </c>
    </row>
    <row r="366" spans="1:9">
      <c r="A366" s="22">
        <v>45429</v>
      </c>
      <c r="B366" t="s">
        <v>775</v>
      </c>
      <c r="C366" t="s">
        <v>558</v>
      </c>
      <c r="D366" t="s">
        <v>329</v>
      </c>
      <c r="E366" t="s">
        <v>697</v>
      </c>
      <c r="F366" t="s">
        <v>774</v>
      </c>
      <c r="G366" t="s">
        <v>396</v>
      </c>
      <c r="H366" t="s">
        <v>161</v>
      </c>
      <c r="I366" t="s">
        <v>618</v>
      </c>
    </row>
    <row r="367" spans="1:9">
      <c r="A367" s="22">
        <v>45429</v>
      </c>
      <c r="B367" t="s">
        <v>776</v>
      </c>
      <c r="C367" t="s">
        <v>777</v>
      </c>
      <c r="D367" t="s">
        <v>198</v>
      </c>
      <c r="E367" t="s">
        <v>778</v>
      </c>
      <c r="F367" t="s">
        <v>136</v>
      </c>
      <c r="G367" t="s">
        <v>779</v>
      </c>
      <c r="H367" t="s">
        <v>125</v>
      </c>
      <c r="I367" t="s">
        <v>618</v>
      </c>
    </row>
    <row r="368" spans="1:9">
      <c r="A368" s="22"/>
    </row>
    <row r="369" spans="1:9">
      <c r="A369" s="22">
        <v>45432</v>
      </c>
      <c r="B369" t="s">
        <v>780</v>
      </c>
      <c r="C369" t="s">
        <v>781</v>
      </c>
      <c r="D369" t="s">
        <v>708</v>
      </c>
      <c r="E369" t="s">
        <v>697</v>
      </c>
      <c r="F369" t="s">
        <v>782</v>
      </c>
      <c r="G369" t="s">
        <v>779</v>
      </c>
      <c r="H369" t="s">
        <v>161</v>
      </c>
      <c r="I369" t="s">
        <v>682</v>
      </c>
    </row>
    <row r="370" spans="1:9">
      <c r="A370" s="22">
        <v>45432</v>
      </c>
      <c r="B370" t="s">
        <v>721</v>
      </c>
      <c r="C370" t="s">
        <v>638</v>
      </c>
      <c r="D370" t="s">
        <v>185</v>
      </c>
      <c r="E370" t="s">
        <v>548</v>
      </c>
      <c r="F370" t="s">
        <v>189</v>
      </c>
      <c r="G370" t="s">
        <v>742</v>
      </c>
      <c r="H370" t="s">
        <v>125</v>
      </c>
      <c r="I370" t="s">
        <v>618</v>
      </c>
    </row>
    <row r="371" spans="1:9" s="9" customFormat="1">
      <c r="A371" s="47">
        <v>45432</v>
      </c>
      <c r="B371" s="9" t="s">
        <v>771</v>
      </c>
      <c r="C371" s="9" t="s">
        <v>783</v>
      </c>
      <c r="D371" s="9" t="s">
        <v>708</v>
      </c>
      <c r="E371" s="9" t="s">
        <v>697</v>
      </c>
      <c r="F371" s="9" t="s">
        <v>782</v>
      </c>
      <c r="G371" s="9" t="s">
        <v>137</v>
      </c>
      <c r="H371" s="9" t="s">
        <v>125</v>
      </c>
      <c r="I371" s="9" t="s">
        <v>618</v>
      </c>
    </row>
    <row r="372" spans="1:9">
      <c r="A372" s="22">
        <v>45432</v>
      </c>
      <c r="B372" t="s">
        <v>784</v>
      </c>
      <c r="C372" t="s">
        <v>730</v>
      </c>
      <c r="D372" t="s">
        <v>178</v>
      </c>
      <c r="E372" t="s">
        <v>778</v>
      </c>
      <c r="F372" t="s">
        <v>123</v>
      </c>
      <c r="G372" t="s">
        <v>137</v>
      </c>
      <c r="H372" t="s">
        <v>614</v>
      </c>
      <c r="I372" t="s">
        <v>682</v>
      </c>
    </row>
    <row r="373" spans="1:9">
      <c r="A373" s="22">
        <v>45432</v>
      </c>
      <c r="B373" t="s">
        <v>785</v>
      </c>
      <c r="C373" t="s">
        <v>786</v>
      </c>
      <c r="D373" t="s">
        <v>178</v>
      </c>
      <c r="E373" t="s">
        <v>697</v>
      </c>
      <c r="F373" t="s">
        <v>787</v>
      </c>
      <c r="G373" t="s">
        <v>137</v>
      </c>
      <c r="H373" t="s">
        <v>125</v>
      </c>
      <c r="I373" t="s">
        <v>618</v>
      </c>
    </row>
    <row r="374" spans="1:9">
      <c r="A374" s="22">
        <v>45432</v>
      </c>
      <c r="B374" t="s">
        <v>788</v>
      </c>
      <c r="C374" t="s">
        <v>494</v>
      </c>
      <c r="D374" t="s">
        <v>198</v>
      </c>
      <c r="E374" t="s">
        <v>689</v>
      </c>
      <c r="F374" t="s">
        <v>189</v>
      </c>
      <c r="G374" t="s">
        <v>762</v>
      </c>
      <c r="H374" t="s">
        <v>789</v>
      </c>
      <c r="I374" t="s">
        <v>618</v>
      </c>
    </row>
    <row r="375" spans="1:9">
      <c r="A375" s="22"/>
    </row>
    <row r="376" spans="1:9">
      <c r="A376" s="22">
        <v>45433</v>
      </c>
      <c r="B376" t="s">
        <v>729</v>
      </c>
      <c r="C376" t="s">
        <v>790</v>
      </c>
      <c r="D376" t="s">
        <v>211</v>
      </c>
      <c r="E376" t="s">
        <v>791</v>
      </c>
      <c r="F376" t="s">
        <v>671</v>
      </c>
      <c r="G376" t="s">
        <v>137</v>
      </c>
      <c r="H376" t="s">
        <v>125</v>
      </c>
      <c r="I376" t="s">
        <v>792</v>
      </c>
    </row>
    <row r="377" spans="1:9">
      <c r="A377" s="22">
        <v>45433</v>
      </c>
      <c r="B377" t="s">
        <v>793</v>
      </c>
      <c r="C377" t="s">
        <v>790</v>
      </c>
      <c r="D377" t="s">
        <v>708</v>
      </c>
      <c r="E377" t="s">
        <v>794</v>
      </c>
      <c r="F377" t="s">
        <v>671</v>
      </c>
      <c r="G377" t="s">
        <v>137</v>
      </c>
      <c r="H377" t="s">
        <v>125</v>
      </c>
      <c r="I377" t="s">
        <v>497</v>
      </c>
    </row>
    <row r="378" spans="1:9">
      <c r="A378" s="22">
        <v>45433</v>
      </c>
      <c r="B378" t="s">
        <v>629</v>
      </c>
      <c r="C378" t="s">
        <v>795</v>
      </c>
      <c r="D378" t="s">
        <v>796</v>
      </c>
      <c r="E378" t="s">
        <v>419</v>
      </c>
      <c r="F378" t="s">
        <v>797</v>
      </c>
      <c r="G378" t="s">
        <v>137</v>
      </c>
      <c r="H378" t="s">
        <v>125</v>
      </c>
      <c r="I378" t="s">
        <v>618</v>
      </c>
    </row>
    <row r="379" spans="1:9">
      <c r="A379" s="22">
        <v>45433</v>
      </c>
      <c r="B379" t="s">
        <v>798</v>
      </c>
      <c r="C379" t="s">
        <v>799</v>
      </c>
      <c r="D379" t="s">
        <v>246</v>
      </c>
      <c r="E379" t="s">
        <v>666</v>
      </c>
      <c r="F379" t="s">
        <v>800</v>
      </c>
      <c r="G379" t="s">
        <v>137</v>
      </c>
      <c r="H379" t="s">
        <v>125</v>
      </c>
      <c r="I379" t="s">
        <v>391</v>
      </c>
    </row>
    <row r="380" spans="1:9">
      <c r="A380" s="22">
        <v>45433</v>
      </c>
      <c r="B380" t="s">
        <v>801</v>
      </c>
      <c r="C380" t="s">
        <v>737</v>
      </c>
      <c r="D380" t="s">
        <v>178</v>
      </c>
      <c r="E380" t="s">
        <v>802</v>
      </c>
      <c r="F380" t="s">
        <v>189</v>
      </c>
      <c r="G380" t="s">
        <v>396</v>
      </c>
      <c r="H380" t="s">
        <v>738</v>
      </c>
      <c r="I380" t="s">
        <v>618</v>
      </c>
    </row>
    <row r="381" spans="1:9">
      <c r="A381" s="22">
        <v>45433</v>
      </c>
      <c r="B381" t="s">
        <v>721</v>
      </c>
      <c r="C381" t="s">
        <v>803</v>
      </c>
      <c r="D381" t="s">
        <v>178</v>
      </c>
      <c r="E381" t="s">
        <v>804</v>
      </c>
      <c r="F381" t="s">
        <v>136</v>
      </c>
      <c r="G381" t="s">
        <v>137</v>
      </c>
      <c r="H381" t="s">
        <v>125</v>
      </c>
      <c r="I381" t="s">
        <v>618</v>
      </c>
    </row>
    <row r="382" spans="1:9">
      <c r="A382" s="22">
        <v>45433</v>
      </c>
      <c r="B382" t="s">
        <v>805</v>
      </c>
      <c r="C382" t="s">
        <v>730</v>
      </c>
      <c r="D382" t="s">
        <v>178</v>
      </c>
      <c r="E382" t="s">
        <v>778</v>
      </c>
      <c r="F382" t="s">
        <v>136</v>
      </c>
      <c r="G382" t="s">
        <v>137</v>
      </c>
      <c r="H382" t="s">
        <v>614</v>
      </c>
      <c r="I382" t="s">
        <v>618</v>
      </c>
    </row>
    <row r="383" spans="1:9">
      <c r="A383" s="22">
        <v>45433</v>
      </c>
      <c r="B383" t="s">
        <v>629</v>
      </c>
      <c r="C383" t="s">
        <v>707</v>
      </c>
      <c r="D383" t="s">
        <v>178</v>
      </c>
      <c r="E383" t="s">
        <v>697</v>
      </c>
      <c r="F383" t="s">
        <v>806</v>
      </c>
      <c r="G383" t="s">
        <v>137</v>
      </c>
      <c r="H383" t="s">
        <v>125</v>
      </c>
      <c r="I383" t="s">
        <v>618</v>
      </c>
    </row>
    <row r="384" spans="1:9">
      <c r="A384" s="22">
        <v>45433</v>
      </c>
      <c r="B384" t="s">
        <v>807</v>
      </c>
      <c r="C384" t="s">
        <v>258</v>
      </c>
      <c r="D384" t="s">
        <v>290</v>
      </c>
      <c r="E384" t="s">
        <v>808</v>
      </c>
      <c r="F384" t="s">
        <v>136</v>
      </c>
      <c r="G384" t="s">
        <v>762</v>
      </c>
      <c r="H384" t="s">
        <v>161</v>
      </c>
      <c r="I384" t="s">
        <v>618</v>
      </c>
    </row>
    <row r="385" spans="1:9">
      <c r="A385" s="22">
        <v>45433</v>
      </c>
      <c r="B385" t="s">
        <v>809</v>
      </c>
      <c r="C385" t="s">
        <v>258</v>
      </c>
      <c r="D385" t="s">
        <v>290</v>
      </c>
      <c r="E385" t="s">
        <v>808</v>
      </c>
      <c r="F385" t="s">
        <v>136</v>
      </c>
      <c r="G385" t="s">
        <v>762</v>
      </c>
      <c r="H385" t="s">
        <v>161</v>
      </c>
      <c r="I385" t="s">
        <v>618</v>
      </c>
    </row>
    <row r="386" spans="1:9">
      <c r="A386" s="22">
        <v>45433</v>
      </c>
      <c r="B386" t="s">
        <v>810</v>
      </c>
      <c r="C386" t="s">
        <v>811</v>
      </c>
      <c r="D386" t="s">
        <v>812</v>
      </c>
      <c r="E386" t="s">
        <v>548</v>
      </c>
      <c r="F386" t="s">
        <v>189</v>
      </c>
      <c r="G386" t="s">
        <v>137</v>
      </c>
      <c r="H386" t="s">
        <v>125</v>
      </c>
      <c r="I386" t="s">
        <v>813</v>
      </c>
    </row>
    <row r="387" spans="1:9">
      <c r="A387" s="22">
        <v>45433</v>
      </c>
      <c r="B387" t="s">
        <v>635</v>
      </c>
      <c r="C387" t="s">
        <v>814</v>
      </c>
      <c r="D387" t="s">
        <v>812</v>
      </c>
      <c r="E387" t="s">
        <v>802</v>
      </c>
      <c r="F387" t="s">
        <v>189</v>
      </c>
      <c r="G387" t="s">
        <v>137</v>
      </c>
      <c r="H387" t="s">
        <v>125</v>
      </c>
      <c r="I387" t="s">
        <v>391</v>
      </c>
    </row>
    <row r="388" spans="1:9">
      <c r="A388" s="22">
        <v>45433</v>
      </c>
      <c r="B388" t="s">
        <v>815</v>
      </c>
      <c r="C388" t="s">
        <v>816</v>
      </c>
      <c r="D388" t="s">
        <v>817</v>
      </c>
      <c r="E388" t="s">
        <v>419</v>
      </c>
      <c r="F388" t="s">
        <v>818</v>
      </c>
      <c r="G388" t="s">
        <v>137</v>
      </c>
      <c r="H388" t="s">
        <v>155</v>
      </c>
      <c r="I388" t="s">
        <v>618</v>
      </c>
    </row>
    <row r="390" spans="1:9">
      <c r="A390" s="22">
        <v>45434</v>
      </c>
      <c r="B390" t="s">
        <v>729</v>
      </c>
      <c r="C390" t="s">
        <v>177</v>
      </c>
      <c r="D390" t="s">
        <v>796</v>
      </c>
      <c r="E390" t="s">
        <v>419</v>
      </c>
      <c r="F390" t="s">
        <v>136</v>
      </c>
      <c r="G390" t="s">
        <v>137</v>
      </c>
      <c r="H390" t="s">
        <v>125</v>
      </c>
      <c r="I390" t="s">
        <v>618</v>
      </c>
    </row>
    <row r="391" spans="1:9">
      <c r="A391" s="22">
        <v>45434</v>
      </c>
      <c r="B391" t="s">
        <v>819</v>
      </c>
      <c r="C391" t="s">
        <v>820</v>
      </c>
      <c r="D391" t="s">
        <v>708</v>
      </c>
      <c r="E391" t="s">
        <v>689</v>
      </c>
      <c r="F391" t="s">
        <v>189</v>
      </c>
      <c r="G391" t="s">
        <v>396</v>
      </c>
      <c r="H391" t="s">
        <v>397</v>
      </c>
      <c r="I391" t="s">
        <v>618</v>
      </c>
    </row>
    <row r="392" spans="1:9">
      <c r="A392" s="22">
        <v>45434</v>
      </c>
      <c r="B392" t="s">
        <v>721</v>
      </c>
      <c r="C392" t="s">
        <v>821</v>
      </c>
      <c r="D392" t="s">
        <v>796</v>
      </c>
      <c r="E392" t="s">
        <v>666</v>
      </c>
      <c r="F392" t="s">
        <v>782</v>
      </c>
      <c r="G392" t="s">
        <v>396</v>
      </c>
      <c r="H392" t="s">
        <v>125</v>
      </c>
      <c r="I392" t="s">
        <v>822</v>
      </c>
    </row>
    <row r="393" spans="1:9">
      <c r="A393" s="22">
        <v>45434</v>
      </c>
      <c r="B393" t="s">
        <v>823</v>
      </c>
      <c r="C393" t="s">
        <v>824</v>
      </c>
      <c r="D393" t="s">
        <v>708</v>
      </c>
      <c r="E393" t="s">
        <v>660</v>
      </c>
      <c r="F393" t="s">
        <v>692</v>
      </c>
      <c r="G393" t="s">
        <v>396</v>
      </c>
      <c r="H393" t="s">
        <v>236</v>
      </c>
      <c r="I393" t="s">
        <v>825</v>
      </c>
    </row>
    <row r="394" spans="1:9">
      <c r="A394" s="22">
        <v>45434</v>
      </c>
      <c r="B394" t="s">
        <v>826</v>
      </c>
      <c r="C394" t="s">
        <v>781</v>
      </c>
      <c r="D394" t="s">
        <v>178</v>
      </c>
      <c r="E394" t="s">
        <v>666</v>
      </c>
      <c r="F394" t="s">
        <v>827</v>
      </c>
      <c r="G394" t="s">
        <v>396</v>
      </c>
      <c r="H394" t="s">
        <v>161</v>
      </c>
      <c r="I394" t="s">
        <v>618</v>
      </c>
    </row>
    <row r="395" spans="1:9">
      <c r="A395" s="22">
        <v>45434</v>
      </c>
      <c r="B395" t="s">
        <v>745</v>
      </c>
      <c r="C395" t="s">
        <v>623</v>
      </c>
      <c r="D395" t="s">
        <v>178</v>
      </c>
      <c r="E395" t="s">
        <v>734</v>
      </c>
      <c r="F395" t="s">
        <v>136</v>
      </c>
      <c r="G395" t="s">
        <v>396</v>
      </c>
      <c r="H395" t="s">
        <v>397</v>
      </c>
      <c r="I395" t="s">
        <v>618</v>
      </c>
    </row>
    <row r="396" spans="1:9">
      <c r="A396" s="22">
        <v>45434</v>
      </c>
      <c r="B396" t="s">
        <v>626</v>
      </c>
      <c r="C396" t="s">
        <v>828</v>
      </c>
      <c r="D396" t="s">
        <v>178</v>
      </c>
      <c r="E396" t="s">
        <v>548</v>
      </c>
      <c r="F396" t="s">
        <v>189</v>
      </c>
      <c r="G396" t="s">
        <v>137</v>
      </c>
      <c r="H396" t="s">
        <v>125</v>
      </c>
      <c r="I396" t="s">
        <v>732</v>
      </c>
    </row>
    <row r="397" spans="1:9">
      <c r="A397" s="22">
        <v>45434</v>
      </c>
      <c r="B397" t="s">
        <v>829</v>
      </c>
      <c r="C397" t="s">
        <v>586</v>
      </c>
      <c r="D397" t="s">
        <v>329</v>
      </c>
      <c r="E397" t="s">
        <v>778</v>
      </c>
      <c r="F397" t="s">
        <v>136</v>
      </c>
      <c r="G397" t="s">
        <v>396</v>
      </c>
      <c r="H397" t="s">
        <v>236</v>
      </c>
      <c r="I397" t="s">
        <v>682</v>
      </c>
    </row>
    <row r="398" spans="1:9">
      <c r="A398" s="22">
        <v>45434</v>
      </c>
      <c r="B398" t="s">
        <v>830</v>
      </c>
      <c r="C398" t="s">
        <v>831</v>
      </c>
      <c r="D398" t="s">
        <v>276</v>
      </c>
      <c r="E398" t="s">
        <v>685</v>
      </c>
      <c r="F398" t="s">
        <v>136</v>
      </c>
      <c r="G398" t="s">
        <v>396</v>
      </c>
      <c r="H398" t="s">
        <v>161</v>
      </c>
      <c r="I398" t="s">
        <v>294</v>
      </c>
    </row>
    <row r="399" spans="1:9">
      <c r="A399" s="22"/>
    </row>
    <row r="400" spans="1:9">
      <c r="A400" s="22">
        <v>45435</v>
      </c>
      <c r="B400" t="s">
        <v>718</v>
      </c>
      <c r="C400" t="s">
        <v>832</v>
      </c>
      <c r="D400" t="s">
        <v>708</v>
      </c>
      <c r="E400" t="s">
        <v>802</v>
      </c>
      <c r="F400" t="s">
        <v>833</v>
      </c>
      <c r="G400" t="s">
        <v>137</v>
      </c>
      <c r="H400" t="s">
        <v>125</v>
      </c>
      <c r="I400" t="s">
        <v>497</v>
      </c>
    </row>
    <row r="401" spans="1:9">
      <c r="A401" s="22">
        <v>45435</v>
      </c>
      <c r="B401" t="s">
        <v>619</v>
      </c>
      <c r="C401" t="s">
        <v>834</v>
      </c>
      <c r="D401" t="s">
        <v>796</v>
      </c>
      <c r="E401" t="s">
        <v>122</v>
      </c>
      <c r="F401" t="s">
        <v>123</v>
      </c>
      <c r="G401" t="s">
        <v>137</v>
      </c>
      <c r="H401" t="s">
        <v>125</v>
      </c>
      <c r="I401" t="s">
        <v>294</v>
      </c>
    </row>
    <row r="402" spans="1:9">
      <c r="A402" s="22">
        <v>45435</v>
      </c>
      <c r="B402" t="s">
        <v>835</v>
      </c>
      <c r="C402" t="s">
        <v>836</v>
      </c>
      <c r="D402" t="s">
        <v>727</v>
      </c>
      <c r="E402" t="s">
        <v>802</v>
      </c>
      <c r="F402" t="s">
        <v>495</v>
      </c>
      <c r="G402" t="s">
        <v>137</v>
      </c>
      <c r="H402" t="s">
        <v>155</v>
      </c>
      <c r="I402" t="s">
        <v>294</v>
      </c>
    </row>
    <row r="403" spans="1:9">
      <c r="A403" s="22">
        <v>45435</v>
      </c>
      <c r="B403" t="s">
        <v>837</v>
      </c>
      <c r="C403" t="s">
        <v>803</v>
      </c>
      <c r="D403" t="s">
        <v>178</v>
      </c>
      <c r="E403" t="s">
        <v>685</v>
      </c>
      <c r="F403" t="s">
        <v>136</v>
      </c>
      <c r="G403" t="s">
        <v>396</v>
      </c>
      <c r="H403" t="s">
        <v>125</v>
      </c>
      <c r="I403" t="s">
        <v>391</v>
      </c>
    </row>
    <row r="404" spans="1:9">
      <c r="A404" s="22">
        <v>45435</v>
      </c>
      <c r="B404" t="s">
        <v>771</v>
      </c>
      <c r="C404" t="s">
        <v>838</v>
      </c>
      <c r="D404" t="s">
        <v>178</v>
      </c>
      <c r="E404" t="s">
        <v>689</v>
      </c>
      <c r="F404" t="s">
        <v>189</v>
      </c>
      <c r="G404" t="s">
        <v>137</v>
      </c>
      <c r="H404" t="s">
        <v>125</v>
      </c>
      <c r="I404" t="s">
        <v>294</v>
      </c>
    </row>
    <row r="405" spans="1:9">
      <c r="A405" s="22">
        <v>45435</v>
      </c>
      <c r="B405" t="s">
        <v>839</v>
      </c>
      <c r="C405" t="s">
        <v>684</v>
      </c>
      <c r="D405" t="s">
        <v>329</v>
      </c>
      <c r="E405" t="s">
        <v>685</v>
      </c>
      <c r="F405" t="s">
        <v>136</v>
      </c>
      <c r="G405" t="s">
        <v>396</v>
      </c>
      <c r="H405" t="s">
        <v>161</v>
      </c>
      <c r="I405" t="s">
        <v>294</v>
      </c>
    </row>
    <row r="406" spans="1:9">
      <c r="A406" s="22">
        <v>45435</v>
      </c>
      <c r="B406" t="s">
        <v>840</v>
      </c>
      <c r="C406" t="s">
        <v>841</v>
      </c>
      <c r="D406" t="s">
        <v>290</v>
      </c>
      <c r="E406" t="s">
        <v>734</v>
      </c>
      <c r="F406" t="s">
        <v>136</v>
      </c>
      <c r="G406" t="s">
        <v>762</v>
      </c>
      <c r="H406" t="s">
        <v>397</v>
      </c>
      <c r="I406" t="s">
        <v>294</v>
      </c>
    </row>
    <row r="407" spans="1:9">
      <c r="A407" s="22">
        <v>45435</v>
      </c>
      <c r="B407" t="s">
        <v>842</v>
      </c>
      <c r="C407" t="s">
        <v>841</v>
      </c>
      <c r="D407" t="s">
        <v>290</v>
      </c>
      <c r="E407" t="s">
        <v>734</v>
      </c>
      <c r="F407" t="s">
        <v>136</v>
      </c>
      <c r="G407" t="s">
        <v>762</v>
      </c>
      <c r="H407" t="s">
        <v>332</v>
      </c>
      <c r="I407" t="s">
        <v>294</v>
      </c>
    </row>
    <row r="408" spans="1:9" s="9" customFormat="1">
      <c r="A408" s="47">
        <v>45435</v>
      </c>
      <c r="B408" s="9" t="s">
        <v>843</v>
      </c>
      <c r="C408" s="9" t="s">
        <v>623</v>
      </c>
      <c r="D408" s="9" t="s">
        <v>276</v>
      </c>
      <c r="E408" s="9" t="s">
        <v>559</v>
      </c>
      <c r="F408" s="9" t="s">
        <v>123</v>
      </c>
      <c r="G408" s="9" t="s">
        <v>288</v>
      </c>
      <c r="H408" s="9" t="s">
        <v>152</v>
      </c>
      <c r="I408" s="9" t="s">
        <v>294</v>
      </c>
    </row>
    <row r="410" spans="1:9">
      <c r="A410" s="22">
        <v>45436</v>
      </c>
      <c r="B410" t="s">
        <v>844</v>
      </c>
      <c r="C410" t="s">
        <v>841</v>
      </c>
      <c r="D410" t="s">
        <v>290</v>
      </c>
      <c r="E410" t="s">
        <v>734</v>
      </c>
      <c r="F410" t="s">
        <v>136</v>
      </c>
      <c r="G410" t="s">
        <v>762</v>
      </c>
      <c r="H410" t="s">
        <v>397</v>
      </c>
      <c r="I410" t="s">
        <v>166</v>
      </c>
    </row>
    <row r="411" spans="1:9">
      <c r="A411" s="22">
        <v>45436</v>
      </c>
      <c r="B411" t="s">
        <v>386</v>
      </c>
      <c r="D411" t="s">
        <v>178</v>
      </c>
      <c r="E411" t="s">
        <v>394</v>
      </c>
      <c r="F411" t="s">
        <v>444</v>
      </c>
      <c r="G411" t="s">
        <v>124</v>
      </c>
      <c r="H411" t="s">
        <v>161</v>
      </c>
      <c r="I411" t="s">
        <v>166</v>
      </c>
    </row>
    <row r="412" spans="1:9">
      <c r="A412" s="22">
        <v>45436</v>
      </c>
      <c r="B412" t="s">
        <v>130</v>
      </c>
      <c r="C412" t="s">
        <v>845</v>
      </c>
      <c r="D412" t="s">
        <v>329</v>
      </c>
      <c r="E412" t="s">
        <v>518</v>
      </c>
      <c r="F412" t="s">
        <v>474</v>
      </c>
      <c r="G412" t="s">
        <v>124</v>
      </c>
      <c r="H412" t="s">
        <v>125</v>
      </c>
      <c r="I412" t="s">
        <v>497</v>
      </c>
    </row>
    <row r="414" spans="1:9">
      <c r="A414" s="22">
        <v>45440</v>
      </c>
      <c r="B414" t="s">
        <v>201</v>
      </c>
      <c r="C414" t="s">
        <v>781</v>
      </c>
      <c r="D414" t="s">
        <v>185</v>
      </c>
      <c r="E414" t="s">
        <v>394</v>
      </c>
      <c r="F414" t="s">
        <v>444</v>
      </c>
      <c r="G414" t="s">
        <v>124</v>
      </c>
      <c r="H414" t="s">
        <v>125</v>
      </c>
      <c r="I414" t="s">
        <v>166</v>
      </c>
    </row>
    <row r="415" spans="1:9">
      <c r="A415" s="22">
        <v>45440</v>
      </c>
      <c r="B415" t="s">
        <v>130</v>
      </c>
      <c r="C415" t="s">
        <v>177</v>
      </c>
      <c r="D415" t="s">
        <v>424</v>
      </c>
      <c r="E415" t="s">
        <v>808</v>
      </c>
      <c r="F415" t="s">
        <v>123</v>
      </c>
      <c r="G415" t="s">
        <v>124</v>
      </c>
      <c r="H415" t="s">
        <v>125</v>
      </c>
      <c r="I415" t="s">
        <v>166</v>
      </c>
    </row>
    <row r="416" spans="1:9">
      <c r="A416" s="22">
        <v>45440</v>
      </c>
      <c r="B416" t="s">
        <v>846</v>
      </c>
      <c r="C416" t="s">
        <v>98</v>
      </c>
      <c r="D416" t="s">
        <v>847</v>
      </c>
      <c r="E416" t="s">
        <v>122</v>
      </c>
      <c r="F416" t="s">
        <v>123</v>
      </c>
      <c r="G416" t="s">
        <v>124</v>
      </c>
      <c r="H416" t="s">
        <v>125</v>
      </c>
      <c r="I416" t="s">
        <v>166</v>
      </c>
    </row>
    <row r="417" spans="1:9">
      <c r="A417" s="22">
        <v>45440</v>
      </c>
      <c r="B417" t="s">
        <v>146</v>
      </c>
      <c r="C417" t="s">
        <v>848</v>
      </c>
      <c r="D417" t="s">
        <v>178</v>
      </c>
      <c r="E417" t="s">
        <v>203</v>
      </c>
      <c r="F417" t="s">
        <v>123</v>
      </c>
      <c r="G417" t="s">
        <v>124</v>
      </c>
      <c r="H417" t="s">
        <v>125</v>
      </c>
      <c r="I417" t="s">
        <v>294</v>
      </c>
    </row>
    <row r="418" spans="1:9">
      <c r="A418" s="22">
        <v>45440</v>
      </c>
      <c r="B418" t="s">
        <v>150</v>
      </c>
      <c r="C418" t="s">
        <v>849</v>
      </c>
      <c r="D418" t="s">
        <v>71</v>
      </c>
      <c r="E418" t="s">
        <v>43</v>
      </c>
      <c r="F418" t="s">
        <v>200</v>
      </c>
      <c r="G418" t="s">
        <v>145</v>
      </c>
      <c r="H418" t="s">
        <v>152</v>
      </c>
    </row>
    <row r="419" spans="1:9" s="9" customFormat="1">
      <c r="A419" s="47">
        <v>45440</v>
      </c>
      <c r="B419" s="9" t="s">
        <v>150</v>
      </c>
      <c r="C419" s="9" t="s">
        <v>850</v>
      </c>
      <c r="D419" s="9" t="s">
        <v>329</v>
      </c>
      <c r="E419" s="9" t="s">
        <v>122</v>
      </c>
      <c r="F419" s="9" t="s">
        <v>123</v>
      </c>
      <c r="G419" s="9" t="s">
        <v>145</v>
      </c>
      <c r="H419" s="9" t="s">
        <v>152</v>
      </c>
      <c r="I419" s="9" t="s">
        <v>166</v>
      </c>
    </row>
    <row r="420" spans="1:9">
      <c r="A420" s="22"/>
    </row>
    <row r="421" spans="1:9">
      <c r="A421" s="22">
        <v>45441</v>
      </c>
      <c r="B421" t="s">
        <v>851</v>
      </c>
      <c r="C421" t="s">
        <v>852</v>
      </c>
      <c r="D421" t="s">
        <v>424</v>
      </c>
      <c r="E421" t="s">
        <v>122</v>
      </c>
      <c r="F421" t="s">
        <v>123</v>
      </c>
      <c r="G421" t="s">
        <v>853</v>
      </c>
      <c r="H421" t="s">
        <v>125</v>
      </c>
      <c r="I421" t="s">
        <v>166</v>
      </c>
    </row>
    <row r="422" spans="1:9">
      <c r="A422" s="22">
        <v>45441</v>
      </c>
      <c r="B422" t="s">
        <v>687</v>
      </c>
      <c r="C422" t="s">
        <v>854</v>
      </c>
      <c r="D422" t="s">
        <v>211</v>
      </c>
      <c r="E422" t="s">
        <v>43</v>
      </c>
      <c r="F422" t="s">
        <v>200</v>
      </c>
      <c r="G422" t="s">
        <v>124</v>
      </c>
      <c r="H422" t="s">
        <v>125</v>
      </c>
      <c r="I422" t="s">
        <v>166</v>
      </c>
    </row>
    <row r="423" spans="1:9">
      <c r="A423" s="22">
        <v>45441</v>
      </c>
      <c r="B423" t="s">
        <v>126</v>
      </c>
      <c r="C423" t="s">
        <v>855</v>
      </c>
      <c r="D423" t="s">
        <v>424</v>
      </c>
      <c r="E423" t="s">
        <v>148</v>
      </c>
      <c r="F423" t="s">
        <v>129</v>
      </c>
      <c r="G423" t="s">
        <v>124</v>
      </c>
      <c r="H423" t="s">
        <v>125</v>
      </c>
      <c r="I423" t="s">
        <v>294</v>
      </c>
    </row>
    <row r="424" spans="1:9">
      <c r="A424" s="22">
        <v>45441</v>
      </c>
      <c r="B424" t="s">
        <v>146</v>
      </c>
      <c r="C424" t="s">
        <v>856</v>
      </c>
      <c r="D424" t="s">
        <v>812</v>
      </c>
      <c r="E424" t="s">
        <v>518</v>
      </c>
      <c r="F424" t="s">
        <v>200</v>
      </c>
      <c r="G424" t="s">
        <v>124</v>
      </c>
      <c r="H424" t="s">
        <v>125</v>
      </c>
    </row>
    <row r="425" spans="1:9">
      <c r="A425" s="22">
        <v>45441</v>
      </c>
      <c r="B425" t="s">
        <v>242</v>
      </c>
      <c r="C425" t="s">
        <v>857</v>
      </c>
      <c r="D425" t="s">
        <v>329</v>
      </c>
      <c r="E425" t="s">
        <v>148</v>
      </c>
      <c r="F425" t="s">
        <v>467</v>
      </c>
      <c r="G425" t="s">
        <v>237</v>
      </c>
      <c r="H425" t="s">
        <v>152</v>
      </c>
      <c r="I425" t="s">
        <v>391</v>
      </c>
    </row>
    <row r="426" spans="1:9">
      <c r="A426" s="22">
        <v>45441</v>
      </c>
      <c r="B426" t="s">
        <v>858</v>
      </c>
      <c r="C426" t="s">
        <v>859</v>
      </c>
      <c r="D426" t="s">
        <v>178</v>
      </c>
      <c r="E426" t="s">
        <v>808</v>
      </c>
      <c r="F426" t="s">
        <v>123</v>
      </c>
      <c r="G426" t="s">
        <v>124</v>
      </c>
      <c r="H426" t="s">
        <v>125</v>
      </c>
      <c r="I426" t="s">
        <v>166</v>
      </c>
    </row>
    <row r="428" spans="1:9">
      <c r="A428" s="22">
        <v>45442</v>
      </c>
      <c r="B428" t="s">
        <v>130</v>
      </c>
      <c r="C428" t="s">
        <v>860</v>
      </c>
      <c r="D428" t="s">
        <v>424</v>
      </c>
      <c r="E428" t="s">
        <v>861</v>
      </c>
      <c r="F428" t="s">
        <v>643</v>
      </c>
      <c r="G428" t="s">
        <v>124</v>
      </c>
      <c r="H428" t="s">
        <v>125</v>
      </c>
      <c r="I428" t="s">
        <v>682</v>
      </c>
    </row>
    <row r="429" spans="1:9">
      <c r="A429" s="22">
        <v>45442</v>
      </c>
      <c r="B429" t="s">
        <v>430</v>
      </c>
      <c r="C429" t="s">
        <v>215</v>
      </c>
      <c r="D429" t="s">
        <v>817</v>
      </c>
      <c r="E429" t="s">
        <v>559</v>
      </c>
      <c r="F429" t="s">
        <v>123</v>
      </c>
      <c r="G429" t="s">
        <v>124</v>
      </c>
      <c r="H429" t="s">
        <v>125</v>
      </c>
      <c r="I429" t="s">
        <v>166</v>
      </c>
    </row>
    <row r="430" spans="1:9">
      <c r="A430" s="22">
        <v>45442</v>
      </c>
      <c r="B430" t="s">
        <v>134</v>
      </c>
      <c r="C430" t="s">
        <v>862</v>
      </c>
      <c r="D430" t="s">
        <v>178</v>
      </c>
      <c r="E430" t="s">
        <v>142</v>
      </c>
      <c r="F430" t="s">
        <v>863</v>
      </c>
      <c r="G430" t="s">
        <v>124</v>
      </c>
      <c r="H430" t="s">
        <v>125</v>
      </c>
      <c r="I430" t="s">
        <v>166</v>
      </c>
    </row>
    <row r="431" spans="1:9">
      <c r="A431" s="22">
        <v>45442</v>
      </c>
      <c r="B431" t="s">
        <v>120</v>
      </c>
      <c r="C431" t="s">
        <v>803</v>
      </c>
      <c r="D431" t="s">
        <v>178</v>
      </c>
      <c r="E431" t="s">
        <v>559</v>
      </c>
      <c r="F431" t="s">
        <v>123</v>
      </c>
      <c r="G431" t="s">
        <v>145</v>
      </c>
      <c r="H431" t="s">
        <v>125</v>
      </c>
      <c r="I431" t="s">
        <v>166</v>
      </c>
    </row>
    <row r="432" spans="1:9">
      <c r="A432" s="22">
        <v>45442</v>
      </c>
      <c r="B432" t="s">
        <v>134</v>
      </c>
      <c r="C432" t="s">
        <v>864</v>
      </c>
      <c r="D432" t="s">
        <v>865</v>
      </c>
      <c r="E432" t="s">
        <v>122</v>
      </c>
      <c r="F432" t="s">
        <v>123</v>
      </c>
      <c r="G432" t="s">
        <v>124</v>
      </c>
      <c r="H432" t="s">
        <v>125</v>
      </c>
      <c r="I432" t="s">
        <v>166</v>
      </c>
    </row>
    <row r="433" spans="1:10">
      <c r="A433" s="22">
        <v>45442</v>
      </c>
      <c r="B433" t="s">
        <v>120</v>
      </c>
      <c r="C433" t="s">
        <v>866</v>
      </c>
      <c r="D433" t="s">
        <v>276</v>
      </c>
      <c r="E433" t="s">
        <v>43</v>
      </c>
      <c r="F433" t="s">
        <v>200</v>
      </c>
      <c r="G433" t="s">
        <v>124</v>
      </c>
      <c r="H433" t="s">
        <v>125</v>
      </c>
      <c r="I433" t="s">
        <v>166</v>
      </c>
    </row>
    <row r="434" spans="1:10">
      <c r="A434" s="22">
        <v>45442</v>
      </c>
      <c r="B434" t="s">
        <v>220</v>
      </c>
      <c r="C434" t="s">
        <v>867</v>
      </c>
      <c r="D434" t="s">
        <v>299</v>
      </c>
      <c r="E434" t="s">
        <v>612</v>
      </c>
      <c r="F434" t="s">
        <v>868</v>
      </c>
      <c r="G434" t="s">
        <v>124</v>
      </c>
      <c r="H434" t="s">
        <v>125</v>
      </c>
      <c r="I434" t="s">
        <v>166</v>
      </c>
    </row>
    <row r="435" spans="1:10">
      <c r="A435" s="22">
        <v>45442</v>
      </c>
      <c r="B435" t="s">
        <v>146</v>
      </c>
      <c r="C435" t="s">
        <v>135</v>
      </c>
      <c r="D435" t="s">
        <v>290</v>
      </c>
      <c r="E435" t="s">
        <v>591</v>
      </c>
      <c r="F435" t="s">
        <v>123</v>
      </c>
      <c r="G435" t="s">
        <v>124</v>
      </c>
      <c r="H435" t="s">
        <v>125</v>
      </c>
      <c r="I435" t="s">
        <v>294</v>
      </c>
    </row>
    <row r="436" spans="1:10">
      <c r="A436" s="22">
        <v>45442</v>
      </c>
      <c r="B436" t="s">
        <v>273</v>
      </c>
      <c r="C436" t="s">
        <v>857</v>
      </c>
      <c r="D436" t="s">
        <v>329</v>
      </c>
      <c r="E436" t="s">
        <v>148</v>
      </c>
      <c r="F436" t="s">
        <v>467</v>
      </c>
      <c r="G436" t="s">
        <v>237</v>
      </c>
      <c r="H436" t="s">
        <v>152</v>
      </c>
      <c r="I436" t="s">
        <v>497</v>
      </c>
    </row>
    <row r="438" spans="1:10">
      <c r="A438" s="22">
        <v>45443</v>
      </c>
      <c r="B438" t="s">
        <v>201</v>
      </c>
      <c r="C438" t="s">
        <v>869</v>
      </c>
      <c r="D438" t="s">
        <v>185</v>
      </c>
      <c r="E438" t="s">
        <v>142</v>
      </c>
      <c r="F438" t="s">
        <v>643</v>
      </c>
      <c r="G438" t="s">
        <v>124</v>
      </c>
      <c r="H438" t="s">
        <v>125</v>
      </c>
      <c r="I438" t="s">
        <v>166</v>
      </c>
    </row>
    <row r="439" spans="1:10">
      <c r="A439" s="22">
        <v>45443</v>
      </c>
      <c r="B439" t="s">
        <v>190</v>
      </c>
      <c r="C439" t="s">
        <v>870</v>
      </c>
      <c r="D439" t="s">
        <v>424</v>
      </c>
      <c r="E439" t="s">
        <v>122</v>
      </c>
      <c r="F439" t="s">
        <v>123</v>
      </c>
      <c r="G439" t="s">
        <v>124</v>
      </c>
      <c r="H439" t="s">
        <v>125</v>
      </c>
      <c r="I439" t="s">
        <v>166</v>
      </c>
    </row>
    <row r="440" spans="1:10" ht="14.1" customHeight="1">
      <c r="A440" s="22">
        <v>45443</v>
      </c>
      <c r="B440" t="s">
        <v>262</v>
      </c>
      <c r="C440" t="s">
        <v>799</v>
      </c>
      <c r="D440" t="s">
        <v>246</v>
      </c>
      <c r="E440" t="s">
        <v>142</v>
      </c>
      <c r="F440" t="s">
        <v>643</v>
      </c>
      <c r="G440" t="s">
        <v>124</v>
      </c>
      <c r="H440" t="s">
        <v>125</v>
      </c>
      <c r="I440" t="s">
        <v>166</v>
      </c>
    </row>
    <row r="442" spans="1:10">
      <c r="A442" s="22">
        <v>45446</v>
      </c>
      <c r="B442" t="s">
        <v>134</v>
      </c>
      <c r="C442" t="s">
        <v>675</v>
      </c>
      <c r="D442" t="s">
        <v>178</v>
      </c>
      <c r="E442" t="s">
        <v>591</v>
      </c>
      <c r="F442" t="s">
        <v>372</v>
      </c>
      <c r="G442" t="s">
        <v>124</v>
      </c>
      <c r="H442" t="s">
        <v>125</v>
      </c>
      <c r="I442" t="s">
        <v>166</v>
      </c>
      <c r="J442" t="s">
        <v>871</v>
      </c>
    </row>
    <row r="443" spans="1:10">
      <c r="A443" s="22">
        <v>45446</v>
      </c>
      <c r="B443" t="s">
        <v>220</v>
      </c>
      <c r="C443" t="s">
        <v>872</v>
      </c>
      <c r="D443" t="s">
        <v>299</v>
      </c>
      <c r="E443" t="s">
        <v>612</v>
      </c>
      <c r="F443" t="s">
        <v>873</v>
      </c>
      <c r="G443" t="s">
        <v>145</v>
      </c>
      <c r="H443" t="s">
        <v>152</v>
      </c>
      <c r="I443" t="s">
        <v>166</v>
      </c>
    </row>
    <row r="444" spans="1:10">
      <c r="A444" s="22">
        <v>45446</v>
      </c>
      <c r="B444" t="s">
        <v>304</v>
      </c>
      <c r="C444" t="s">
        <v>874</v>
      </c>
      <c r="D444" t="s">
        <v>178</v>
      </c>
      <c r="E444" t="s">
        <v>875</v>
      </c>
      <c r="F444" t="s">
        <v>200</v>
      </c>
      <c r="G444" t="s">
        <v>124</v>
      </c>
      <c r="H444" t="s">
        <v>125</v>
      </c>
      <c r="I444" t="s">
        <v>166</v>
      </c>
    </row>
    <row r="445" spans="1:10">
      <c r="A445" s="22">
        <v>45446</v>
      </c>
      <c r="B445" t="s">
        <v>190</v>
      </c>
      <c r="C445" t="s">
        <v>876</v>
      </c>
      <c r="D445" t="s">
        <v>847</v>
      </c>
      <c r="E445" t="s">
        <v>122</v>
      </c>
      <c r="F445" t="s">
        <v>470</v>
      </c>
      <c r="G445" t="s">
        <v>124</v>
      </c>
      <c r="H445" t="s">
        <v>125</v>
      </c>
      <c r="I445" t="s">
        <v>166</v>
      </c>
    </row>
    <row r="447" spans="1:10">
      <c r="A447" s="22">
        <v>45447</v>
      </c>
      <c r="B447" t="s">
        <v>232</v>
      </c>
      <c r="C447" t="s">
        <v>821</v>
      </c>
      <c r="D447" t="s">
        <v>56</v>
      </c>
      <c r="E447" t="s">
        <v>394</v>
      </c>
      <c r="F447" t="s">
        <v>643</v>
      </c>
      <c r="G447" t="s">
        <v>145</v>
      </c>
      <c r="H447" t="s">
        <v>152</v>
      </c>
      <c r="I447" t="s">
        <v>877</v>
      </c>
    </row>
    <row r="448" spans="1:10">
      <c r="A448" s="22">
        <v>45447</v>
      </c>
      <c r="B448" t="s">
        <v>134</v>
      </c>
      <c r="C448" t="s">
        <v>878</v>
      </c>
      <c r="D448" t="s">
        <v>424</v>
      </c>
      <c r="E448" t="s">
        <v>122</v>
      </c>
      <c r="F448" t="s">
        <v>123</v>
      </c>
      <c r="G448" t="s">
        <v>124</v>
      </c>
      <c r="H448" t="s">
        <v>125</v>
      </c>
      <c r="I448" t="s">
        <v>879</v>
      </c>
    </row>
    <row r="449" spans="1:9">
      <c r="A449" s="22">
        <v>45447</v>
      </c>
      <c r="B449" t="s">
        <v>146</v>
      </c>
      <c r="C449" t="s">
        <v>880</v>
      </c>
      <c r="D449" t="s">
        <v>424</v>
      </c>
      <c r="E449" t="s">
        <v>881</v>
      </c>
      <c r="F449" t="s">
        <v>643</v>
      </c>
      <c r="G449" t="s">
        <v>124</v>
      </c>
      <c r="H449" t="s">
        <v>125</v>
      </c>
    </row>
    <row r="450" spans="1:9">
      <c r="A450" s="22">
        <v>45447</v>
      </c>
      <c r="B450" t="s">
        <v>882</v>
      </c>
      <c r="C450" t="s">
        <v>883</v>
      </c>
      <c r="D450" t="s">
        <v>185</v>
      </c>
      <c r="E450" t="s">
        <v>148</v>
      </c>
      <c r="F450" t="s">
        <v>129</v>
      </c>
      <c r="G450" t="s">
        <v>145</v>
      </c>
      <c r="H450" t="s">
        <v>236</v>
      </c>
      <c r="I450" t="s">
        <v>879</v>
      </c>
    </row>
    <row r="451" spans="1:9" s="9" customFormat="1">
      <c r="A451" s="47">
        <v>45447</v>
      </c>
      <c r="B451" s="9" t="s">
        <v>130</v>
      </c>
      <c r="C451" s="9" t="s">
        <v>884</v>
      </c>
      <c r="D451" s="9" t="s">
        <v>147</v>
      </c>
      <c r="E451" s="9" t="s">
        <v>559</v>
      </c>
      <c r="F451" s="9" t="s">
        <v>123</v>
      </c>
      <c r="G451" s="9" t="s">
        <v>124</v>
      </c>
      <c r="H451" s="9" t="s">
        <v>125</v>
      </c>
      <c r="I451" s="9" t="s">
        <v>618</v>
      </c>
    </row>
    <row r="452" spans="1:9">
      <c r="A452" s="22">
        <v>45447</v>
      </c>
      <c r="B452" t="s">
        <v>213</v>
      </c>
      <c r="C452" t="s">
        <v>885</v>
      </c>
      <c r="D452" t="s">
        <v>185</v>
      </c>
      <c r="E452" t="s">
        <v>394</v>
      </c>
      <c r="F452" t="s">
        <v>444</v>
      </c>
      <c r="G452" t="s">
        <v>124</v>
      </c>
      <c r="H452" t="s">
        <v>125</v>
      </c>
      <c r="I452" t="s">
        <v>879</v>
      </c>
    </row>
    <row r="453" spans="1:9">
      <c r="A453" s="22">
        <v>45447</v>
      </c>
      <c r="B453" t="s">
        <v>120</v>
      </c>
      <c r="C453" t="s">
        <v>886</v>
      </c>
      <c r="D453" t="s">
        <v>178</v>
      </c>
      <c r="E453" t="s">
        <v>875</v>
      </c>
      <c r="F453" t="s">
        <v>200</v>
      </c>
      <c r="G453" t="s">
        <v>124</v>
      </c>
      <c r="H453" t="s">
        <v>125</v>
      </c>
      <c r="I453" t="s">
        <v>879</v>
      </c>
    </row>
    <row r="454" spans="1:9">
      <c r="A454" s="22">
        <v>45447</v>
      </c>
      <c r="B454" t="s">
        <v>126</v>
      </c>
      <c r="C454" t="s">
        <v>887</v>
      </c>
      <c r="D454" t="s">
        <v>299</v>
      </c>
      <c r="E454" t="s">
        <v>142</v>
      </c>
      <c r="F454" t="s">
        <v>444</v>
      </c>
      <c r="G454" t="s">
        <v>124</v>
      </c>
      <c r="H454" t="s">
        <v>125</v>
      </c>
      <c r="I454" t="s">
        <v>879</v>
      </c>
    </row>
    <row r="455" spans="1:9">
      <c r="A455" s="22">
        <v>45447</v>
      </c>
      <c r="B455" t="s">
        <v>220</v>
      </c>
      <c r="C455" t="s">
        <v>803</v>
      </c>
      <c r="D455" t="s">
        <v>178</v>
      </c>
      <c r="E455" t="s">
        <v>559</v>
      </c>
      <c r="F455" t="s">
        <v>123</v>
      </c>
      <c r="G455" t="s">
        <v>288</v>
      </c>
      <c r="H455" t="s">
        <v>152</v>
      </c>
      <c r="I455" t="s">
        <v>879</v>
      </c>
    </row>
    <row r="456" spans="1:9">
      <c r="A456" s="22">
        <v>45447</v>
      </c>
      <c r="B456" t="s">
        <v>310</v>
      </c>
      <c r="C456" t="s">
        <v>888</v>
      </c>
      <c r="D456" t="s">
        <v>329</v>
      </c>
      <c r="E456" t="s">
        <v>199</v>
      </c>
      <c r="F456" t="s">
        <v>200</v>
      </c>
      <c r="G456" t="s">
        <v>124</v>
      </c>
      <c r="H456" t="s">
        <v>155</v>
      </c>
    </row>
    <row r="458" spans="1:9" s="9" customFormat="1">
      <c r="A458" s="47">
        <v>45448</v>
      </c>
      <c r="B458" s="9" t="s">
        <v>264</v>
      </c>
      <c r="C458" s="9" t="s">
        <v>889</v>
      </c>
      <c r="D458" s="9" t="s">
        <v>185</v>
      </c>
      <c r="E458" s="9" t="s">
        <v>43</v>
      </c>
      <c r="F458" s="9" t="s">
        <v>200</v>
      </c>
      <c r="G458" s="9" t="s">
        <v>145</v>
      </c>
      <c r="H458" s="9" t="s">
        <v>152</v>
      </c>
      <c r="I458" s="9" t="s">
        <v>166</v>
      </c>
    </row>
    <row r="459" spans="1:9">
      <c r="A459" s="22">
        <v>45448</v>
      </c>
      <c r="B459" t="s">
        <v>526</v>
      </c>
      <c r="C459" t="s">
        <v>890</v>
      </c>
      <c r="D459" t="s">
        <v>172</v>
      </c>
      <c r="E459" t="s">
        <v>122</v>
      </c>
      <c r="F459" t="s">
        <v>372</v>
      </c>
      <c r="G459" t="s">
        <v>145</v>
      </c>
      <c r="H459" t="s">
        <v>161</v>
      </c>
      <c r="I459" t="s">
        <v>166</v>
      </c>
    </row>
    <row r="460" spans="1:9">
      <c r="A460" s="22">
        <v>45448</v>
      </c>
      <c r="B460" t="s">
        <v>239</v>
      </c>
      <c r="C460" t="s">
        <v>855</v>
      </c>
      <c r="D460" t="s">
        <v>211</v>
      </c>
      <c r="E460" t="s">
        <v>148</v>
      </c>
      <c r="F460" t="s">
        <v>129</v>
      </c>
      <c r="G460" t="s">
        <v>124</v>
      </c>
      <c r="H460" t="s">
        <v>125</v>
      </c>
      <c r="I460" t="s">
        <v>366</v>
      </c>
    </row>
    <row r="461" spans="1:9">
      <c r="A461" s="22">
        <v>45448</v>
      </c>
      <c r="B461" t="s">
        <v>364</v>
      </c>
      <c r="C461" t="s">
        <v>486</v>
      </c>
      <c r="D461" t="s">
        <v>172</v>
      </c>
      <c r="E461" t="s">
        <v>591</v>
      </c>
      <c r="F461" t="s">
        <v>123</v>
      </c>
      <c r="G461" t="s">
        <v>145</v>
      </c>
      <c r="H461" t="s">
        <v>161</v>
      </c>
      <c r="I461" t="s">
        <v>879</v>
      </c>
    </row>
    <row r="462" spans="1:9">
      <c r="A462" s="22">
        <v>45448</v>
      </c>
      <c r="B462" t="s">
        <v>126</v>
      </c>
      <c r="C462" t="s">
        <v>891</v>
      </c>
      <c r="D462" t="s">
        <v>371</v>
      </c>
      <c r="E462" t="s">
        <v>892</v>
      </c>
      <c r="F462" t="s">
        <v>893</v>
      </c>
      <c r="G462" t="s">
        <v>124</v>
      </c>
      <c r="H462" t="s">
        <v>125</v>
      </c>
      <c r="I462" t="s">
        <v>366</v>
      </c>
    </row>
    <row r="463" spans="1:9">
      <c r="A463" s="22">
        <v>45448</v>
      </c>
      <c r="B463" t="s">
        <v>195</v>
      </c>
      <c r="C463" t="s">
        <v>894</v>
      </c>
      <c r="D463" t="s">
        <v>299</v>
      </c>
      <c r="E463" t="s">
        <v>203</v>
      </c>
      <c r="F463" t="s">
        <v>123</v>
      </c>
      <c r="G463" t="s">
        <v>145</v>
      </c>
      <c r="H463" t="s">
        <v>152</v>
      </c>
      <c r="I463" t="s">
        <v>166</v>
      </c>
    </row>
    <row r="464" spans="1:9">
      <c r="A464" s="22">
        <v>45448</v>
      </c>
      <c r="B464" t="s">
        <v>239</v>
      </c>
      <c r="C464" t="s">
        <v>895</v>
      </c>
      <c r="D464" t="s">
        <v>399</v>
      </c>
      <c r="E464" t="s">
        <v>896</v>
      </c>
      <c r="F464" t="s">
        <v>459</v>
      </c>
      <c r="G464" t="s">
        <v>124</v>
      </c>
      <c r="H464" t="s">
        <v>125</v>
      </c>
      <c r="I464" t="s">
        <v>897</v>
      </c>
    </row>
    <row r="465" spans="1:9">
      <c r="A465" s="47">
        <v>45448</v>
      </c>
      <c r="B465" s="9" t="s">
        <v>239</v>
      </c>
      <c r="C465" s="9" t="s">
        <v>898</v>
      </c>
      <c r="D465" s="9" t="s">
        <v>178</v>
      </c>
      <c r="E465" s="9" t="s">
        <v>591</v>
      </c>
      <c r="F465" s="9" t="s">
        <v>123</v>
      </c>
      <c r="G465" s="9" t="s">
        <v>124</v>
      </c>
      <c r="H465" s="9" t="s">
        <v>125</v>
      </c>
      <c r="I465" s="9" t="s">
        <v>166</v>
      </c>
    </row>
    <row r="466" spans="1:9" s="9" customFormat="1">
      <c r="A466" s="47">
        <v>45448</v>
      </c>
      <c r="B466" s="9" t="s">
        <v>239</v>
      </c>
      <c r="C466" s="9" t="s">
        <v>854</v>
      </c>
      <c r="D466" s="9" t="s">
        <v>178</v>
      </c>
      <c r="E466" s="9" t="s">
        <v>875</v>
      </c>
      <c r="F466" s="9" t="s">
        <v>200</v>
      </c>
      <c r="G466" s="9" t="s">
        <v>124</v>
      </c>
      <c r="H466" s="9" t="s">
        <v>125</v>
      </c>
      <c r="I466" s="9" t="s">
        <v>899</v>
      </c>
    </row>
    <row r="467" spans="1:9">
      <c r="A467" s="22">
        <v>45448</v>
      </c>
      <c r="B467" t="s">
        <v>900</v>
      </c>
      <c r="C467" t="s">
        <v>901</v>
      </c>
      <c r="D467" t="s">
        <v>178</v>
      </c>
      <c r="E467" t="s">
        <v>203</v>
      </c>
      <c r="F467" t="s">
        <v>123</v>
      </c>
      <c r="G467" t="s">
        <v>145</v>
      </c>
      <c r="H467" t="s">
        <v>902</v>
      </c>
      <c r="I467" t="s">
        <v>366</v>
      </c>
    </row>
    <row r="468" spans="1:9">
      <c r="A468" s="22">
        <v>45448</v>
      </c>
      <c r="B468" t="s">
        <v>213</v>
      </c>
      <c r="C468" t="s">
        <v>850</v>
      </c>
      <c r="D468" t="s">
        <v>329</v>
      </c>
      <c r="E468" t="s">
        <v>122</v>
      </c>
      <c r="F468" t="s">
        <v>123</v>
      </c>
      <c r="G468" t="s">
        <v>237</v>
      </c>
      <c r="H468" t="s">
        <v>125</v>
      </c>
      <c r="I468" t="s">
        <v>879</v>
      </c>
    </row>
    <row r="470" spans="1:9">
      <c r="A470" s="22">
        <v>45449</v>
      </c>
      <c r="B470" t="s">
        <v>903</v>
      </c>
      <c r="C470" t="s">
        <v>904</v>
      </c>
      <c r="D470" t="s">
        <v>185</v>
      </c>
      <c r="E470" t="s">
        <v>394</v>
      </c>
      <c r="F470" t="s">
        <v>643</v>
      </c>
      <c r="G470" t="s">
        <v>288</v>
      </c>
      <c r="H470" t="s">
        <v>152</v>
      </c>
      <c r="I470" t="s">
        <v>905</v>
      </c>
    </row>
    <row r="471" spans="1:9" s="9" customFormat="1">
      <c r="A471" s="47">
        <v>45449</v>
      </c>
      <c r="B471" s="9" t="s">
        <v>207</v>
      </c>
      <c r="C471" s="9" t="s">
        <v>906</v>
      </c>
      <c r="D471" s="9" t="s">
        <v>424</v>
      </c>
      <c r="E471" s="9" t="s">
        <v>43</v>
      </c>
      <c r="F471" s="9" t="s">
        <v>907</v>
      </c>
      <c r="G471" s="9" t="s">
        <v>124</v>
      </c>
      <c r="H471" s="9" t="s">
        <v>125</v>
      </c>
      <c r="I471" s="9" t="s">
        <v>166</v>
      </c>
    </row>
    <row r="472" spans="1:9" s="9" customFormat="1">
      <c r="A472" s="47">
        <v>45449</v>
      </c>
      <c r="B472" s="9" t="s">
        <v>908</v>
      </c>
      <c r="C472" s="9" t="s">
        <v>909</v>
      </c>
      <c r="D472" s="9" t="s">
        <v>424</v>
      </c>
      <c r="E472" s="9" t="s">
        <v>122</v>
      </c>
      <c r="F472" s="9" t="s">
        <v>123</v>
      </c>
      <c r="G472" s="9" t="s">
        <v>124</v>
      </c>
      <c r="H472" s="9" t="s">
        <v>125</v>
      </c>
      <c r="I472" s="9" t="s">
        <v>166</v>
      </c>
    </row>
    <row r="473" spans="1:9" s="9" customFormat="1">
      <c r="A473" s="47">
        <v>45449</v>
      </c>
      <c r="B473" s="9" t="s">
        <v>195</v>
      </c>
      <c r="C473" s="9" t="s">
        <v>215</v>
      </c>
      <c r="D473" s="9" t="s">
        <v>817</v>
      </c>
      <c r="E473" s="9" t="s">
        <v>559</v>
      </c>
      <c r="F473" s="9" t="s">
        <v>136</v>
      </c>
      <c r="G473" s="9" t="s">
        <v>193</v>
      </c>
      <c r="H473" s="9" t="s">
        <v>152</v>
      </c>
      <c r="I473" s="9" t="s">
        <v>166</v>
      </c>
    </row>
    <row r="474" spans="1:9">
      <c r="A474" s="22">
        <v>45449</v>
      </c>
      <c r="B474" t="s">
        <v>526</v>
      </c>
      <c r="D474" t="s">
        <v>290</v>
      </c>
      <c r="E474" t="s">
        <v>148</v>
      </c>
      <c r="F474" t="s">
        <v>129</v>
      </c>
      <c r="G474" t="s">
        <v>145</v>
      </c>
      <c r="H474" t="s">
        <v>161</v>
      </c>
      <c r="I474" t="s">
        <v>384</v>
      </c>
    </row>
    <row r="475" spans="1:9">
      <c r="A475" s="22">
        <v>45449</v>
      </c>
      <c r="B475" t="s">
        <v>126</v>
      </c>
      <c r="C475" t="s">
        <v>488</v>
      </c>
      <c r="D475" t="s">
        <v>178</v>
      </c>
      <c r="E475" t="s">
        <v>875</v>
      </c>
      <c r="F475" t="s">
        <v>448</v>
      </c>
      <c r="G475" t="s">
        <v>124</v>
      </c>
      <c r="H475" t="s">
        <v>125</v>
      </c>
      <c r="I475" t="s">
        <v>166</v>
      </c>
    </row>
    <row r="476" spans="1:9">
      <c r="A476" s="22">
        <v>45449</v>
      </c>
      <c r="B476" t="s">
        <v>267</v>
      </c>
      <c r="C476" t="s">
        <v>910</v>
      </c>
      <c r="D476" t="s">
        <v>329</v>
      </c>
      <c r="E476" t="s">
        <v>591</v>
      </c>
      <c r="F476" t="s">
        <v>911</v>
      </c>
      <c r="G476" t="s">
        <v>124</v>
      </c>
      <c r="H476" t="s">
        <v>155</v>
      </c>
      <c r="I476" t="s">
        <v>366</v>
      </c>
    </row>
    <row r="477" spans="1:9">
      <c r="A477" s="22">
        <v>45449</v>
      </c>
      <c r="B477" t="s">
        <v>126</v>
      </c>
      <c r="C477" t="s">
        <v>850</v>
      </c>
      <c r="D477" t="s">
        <v>329</v>
      </c>
      <c r="E477" t="s">
        <v>122</v>
      </c>
      <c r="F477" t="s">
        <v>123</v>
      </c>
      <c r="G477" t="s">
        <v>237</v>
      </c>
      <c r="H477" t="s">
        <v>125</v>
      </c>
      <c r="I477" t="s">
        <v>180</v>
      </c>
    </row>
    <row r="478" spans="1:9">
      <c r="A478" s="22">
        <v>45449</v>
      </c>
      <c r="B478" t="s">
        <v>257</v>
      </c>
      <c r="C478" t="s">
        <v>912</v>
      </c>
      <c r="D478" t="s">
        <v>299</v>
      </c>
      <c r="E478" t="s">
        <v>203</v>
      </c>
      <c r="F478" t="s">
        <v>123</v>
      </c>
      <c r="G478" t="s">
        <v>124</v>
      </c>
      <c r="H478" t="s">
        <v>125</v>
      </c>
      <c r="I478" t="s">
        <v>166</v>
      </c>
    </row>
    <row r="479" spans="1:9">
      <c r="A479" s="22">
        <v>45449</v>
      </c>
      <c r="B479" t="s">
        <v>913</v>
      </c>
      <c r="C479" t="s">
        <v>914</v>
      </c>
      <c r="D479" t="s">
        <v>299</v>
      </c>
      <c r="E479" t="s">
        <v>881</v>
      </c>
      <c r="F479" t="s">
        <v>334</v>
      </c>
      <c r="G479" t="s">
        <v>124</v>
      </c>
      <c r="H479" t="s">
        <v>155</v>
      </c>
      <c r="I479" t="s">
        <v>915</v>
      </c>
    </row>
    <row r="480" spans="1:9">
      <c r="A480" s="22">
        <v>45449</v>
      </c>
      <c r="B480" t="s">
        <v>168</v>
      </c>
      <c r="C480" t="s">
        <v>803</v>
      </c>
      <c r="D480" t="s">
        <v>178</v>
      </c>
      <c r="E480" t="s">
        <v>559</v>
      </c>
      <c r="F480" t="s">
        <v>123</v>
      </c>
      <c r="G480" t="s">
        <v>247</v>
      </c>
      <c r="H480" t="s">
        <v>152</v>
      </c>
      <c r="I480" t="s">
        <v>180</v>
      </c>
    </row>
    <row r="481" spans="1:9">
      <c r="A481" s="22">
        <v>45449</v>
      </c>
      <c r="B481" t="s">
        <v>242</v>
      </c>
      <c r="C481" t="s">
        <v>854</v>
      </c>
      <c r="D481" t="s">
        <v>178</v>
      </c>
      <c r="E481" t="s">
        <v>875</v>
      </c>
      <c r="F481" t="s">
        <v>200</v>
      </c>
      <c r="G481" t="s">
        <v>193</v>
      </c>
      <c r="H481" t="s">
        <v>152</v>
      </c>
      <c r="I481" t="s">
        <v>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topLeftCell="A4" workbookViewId="0">
      <selection activeCell="C18" sqref="C18"/>
    </sheetView>
  </sheetViews>
  <sheetFormatPr defaultColWidth="9.140625" defaultRowHeight="15"/>
  <sheetData>
    <row r="1" spans="1:8">
      <c r="A1" t="s">
        <v>916</v>
      </c>
      <c r="B1" t="s">
        <v>106</v>
      </c>
      <c r="C1" t="s">
        <v>917</v>
      </c>
      <c r="D1" t="s">
        <v>918</v>
      </c>
      <c r="E1" t="s">
        <v>919</v>
      </c>
      <c r="F1" t="s">
        <v>110</v>
      </c>
      <c r="G1" t="s">
        <v>111</v>
      </c>
      <c r="H1" t="s">
        <v>112</v>
      </c>
    </row>
    <row r="2" spans="1:8">
      <c r="A2" s="22">
        <v>45817</v>
      </c>
      <c r="B2" t="s">
        <v>190</v>
      </c>
      <c r="C2" t="s">
        <v>920</v>
      </c>
      <c r="D2" t="s">
        <v>424</v>
      </c>
      <c r="E2" t="s">
        <v>921</v>
      </c>
      <c r="F2" t="s">
        <v>123</v>
      </c>
      <c r="G2" t="s">
        <v>124</v>
      </c>
      <c r="H2" t="s">
        <v>125</v>
      </c>
    </row>
    <row r="4" spans="1:8">
      <c r="A4" s="22">
        <v>45818</v>
      </c>
      <c r="B4" t="s">
        <v>126</v>
      </c>
      <c r="C4" t="s">
        <v>922</v>
      </c>
      <c r="D4" t="s">
        <v>923</v>
      </c>
      <c r="E4" t="s">
        <v>122</v>
      </c>
      <c r="F4" t="s">
        <v>123</v>
      </c>
    </row>
    <row r="6" spans="1:8">
      <c r="A6" s="22">
        <v>45819</v>
      </c>
      <c r="B6" t="s">
        <v>146</v>
      </c>
      <c r="C6" t="s">
        <v>924</v>
      </c>
      <c r="D6" t="s">
        <v>923</v>
      </c>
      <c r="E6" t="s">
        <v>921</v>
      </c>
      <c r="F6" t="s">
        <v>123</v>
      </c>
      <c r="G6" t="s">
        <v>124</v>
      </c>
      <c r="H6" t="s">
        <v>125</v>
      </c>
    </row>
    <row r="7" spans="1:8">
      <c r="B7" t="s">
        <v>364</v>
      </c>
      <c r="C7" t="s">
        <v>925</v>
      </c>
      <c r="D7" t="s">
        <v>926</v>
      </c>
      <c r="E7" t="s">
        <v>927</v>
      </c>
      <c r="F7" t="s">
        <v>334</v>
      </c>
      <c r="G7" t="s">
        <v>247</v>
      </c>
      <c r="H7" t="s">
        <v>161</v>
      </c>
    </row>
    <row r="8" spans="1:8">
      <c r="A8" s="22"/>
      <c r="B8" t="s">
        <v>130</v>
      </c>
      <c r="C8" t="s">
        <v>928</v>
      </c>
      <c r="D8" t="s">
        <v>929</v>
      </c>
      <c r="E8" t="s">
        <v>930</v>
      </c>
      <c r="F8" t="s">
        <v>129</v>
      </c>
      <c r="G8" t="s">
        <v>124</v>
      </c>
      <c r="H8" t="s">
        <v>125</v>
      </c>
    </row>
    <row r="9" spans="1:8">
      <c r="B9" t="s">
        <v>460</v>
      </c>
      <c r="C9" t="s">
        <v>931</v>
      </c>
      <c r="D9" t="s">
        <v>932</v>
      </c>
      <c r="E9" t="s">
        <v>394</v>
      </c>
      <c r="F9" t="s">
        <v>334</v>
      </c>
      <c r="G9" t="s">
        <v>247</v>
      </c>
      <c r="H9" t="s">
        <v>161</v>
      </c>
    </row>
    <row r="11" spans="1:8">
      <c r="A11" s="22">
        <v>45820</v>
      </c>
      <c r="B11" t="s">
        <v>933</v>
      </c>
      <c r="C11" t="s">
        <v>578</v>
      </c>
      <c r="D11" t="s">
        <v>934</v>
      </c>
      <c r="E11" t="s">
        <v>935</v>
      </c>
      <c r="F11" t="s">
        <v>200</v>
      </c>
      <c r="G11" t="s">
        <v>237</v>
      </c>
      <c r="H11" t="s">
        <v>125</v>
      </c>
    </row>
    <row r="12" spans="1:8">
      <c r="A12" s="22"/>
      <c r="B12" t="s">
        <v>315</v>
      </c>
      <c r="C12" t="s">
        <v>936</v>
      </c>
      <c r="D12" t="s">
        <v>937</v>
      </c>
      <c r="E12" t="s">
        <v>938</v>
      </c>
      <c r="F12" t="s">
        <v>129</v>
      </c>
      <c r="G12" t="s">
        <v>124</v>
      </c>
      <c r="H12" t="s">
        <v>125</v>
      </c>
    </row>
    <row r="13" spans="1:8">
      <c r="B13" t="s">
        <v>252</v>
      </c>
      <c r="C13" t="s">
        <v>939</v>
      </c>
      <c r="D13" t="s">
        <v>940</v>
      </c>
      <c r="F13" t="s">
        <v>129</v>
      </c>
      <c r="G13" t="s">
        <v>124</v>
      </c>
      <c r="H13" t="s">
        <v>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7"/>
  <sheetViews>
    <sheetView workbookViewId="0">
      <selection activeCell="C26" sqref="C26"/>
    </sheetView>
  </sheetViews>
  <sheetFormatPr defaultColWidth="9.140625" defaultRowHeight="15"/>
  <cols>
    <col min="1" max="1" width="26.85546875" customWidth="1"/>
    <col min="4" max="4" width="14.5703125" customWidth="1"/>
    <col min="5" max="5" width="14.5703125" style="10"/>
    <col min="7" max="7" width="16.140625" style="10" customWidth="1"/>
    <col min="10" max="10" width="12.85546875" customWidth="1"/>
  </cols>
  <sheetData>
    <row r="1" spans="1:16">
      <c r="A1" t="s">
        <v>108</v>
      </c>
      <c r="B1" t="s">
        <v>941</v>
      </c>
      <c r="C1" t="s">
        <v>942</v>
      </c>
      <c r="D1" t="s">
        <v>943</v>
      </c>
      <c r="E1" s="10" t="s">
        <v>944</v>
      </c>
      <c r="F1" t="s">
        <v>945</v>
      </c>
      <c r="G1" s="10" t="s">
        <v>946</v>
      </c>
      <c r="H1" t="s">
        <v>947</v>
      </c>
      <c r="I1" t="s">
        <v>948</v>
      </c>
      <c r="J1" t="s">
        <v>949</v>
      </c>
      <c r="K1" t="s">
        <v>123</v>
      </c>
      <c r="L1" t="s">
        <v>200</v>
      </c>
      <c r="M1" t="s">
        <v>334</v>
      </c>
      <c r="N1" t="s">
        <v>950</v>
      </c>
      <c r="O1" t="s">
        <v>643</v>
      </c>
      <c r="P1" t="s">
        <v>951</v>
      </c>
    </row>
    <row r="2" spans="1:16" s="26" customFormat="1">
      <c r="A2" s="26" t="s">
        <v>123</v>
      </c>
      <c r="E2" s="29"/>
      <c r="G2" s="29"/>
    </row>
    <row r="3" spans="1:16">
      <c r="A3" t="s">
        <v>952</v>
      </c>
      <c r="B3" t="s">
        <v>953</v>
      </c>
      <c r="D3" t="s">
        <v>954</v>
      </c>
      <c r="E3" s="10" t="s">
        <v>955</v>
      </c>
    </row>
    <row r="4" spans="1:16" s="27" customFormat="1">
      <c r="A4" s="27" t="s">
        <v>956</v>
      </c>
      <c r="B4" s="27" t="s">
        <v>953</v>
      </c>
      <c r="D4" s="27" t="s">
        <v>957</v>
      </c>
      <c r="E4" s="30" t="s">
        <v>958</v>
      </c>
      <c r="G4" s="30"/>
    </row>
    <row r="5" spans="1:16" ht="15.75">
      <c r="A5" t="s">
        <v>959</v>
      </c>
      <c r="B5" t="s">
        <v>953</v>
      </c>
      <c r="D5" s="31" t="s">
        <v>960</v>
      </c>
      <c r="E5" s="32" t="s">
        <v>961</v>
      </c>
      <c r="F5" s="31" t="s">
        <v>962</v>
      </c>
      <c r="H5" s="31" t="s">
        <v>963</v>
      </c>
    </row>
    <row r="6" spans="1:16" s="27" customFormat="1" ht="15.75">
      <c r="A6" s="27" t="s">
        <v>964</v>
      </c>
      <c r="B6" s="27" t="s">
        <v>953</v>
      </c>
      <c r="D6" s="33" t="s">
        <v>965</v>
      </c>
      <c r="E6" s="30"/>
      <c r="F6" s="33" t="s">
        <v>965</v>
      </c>
      <c r="G6" s="86" t="s">
        <v>966</v>
      </c>
      <c r="H6" s="33" t="s">
        <v>967</v>
      </c>
    </row>
    <row r="7" spans="1:16" s="27" customFormat="1">
      <c r="A7" s="27" t="s">
        <v>968</v>
      </c>
      <c r="B7" s="27" t="s">
        <v>953</v>
      </c>
      <c r="D7" s="27" t="s">
        <v>969</v>
      </c>
      <c r="E7" s="30"/>
      <c r="G7" s="30" t="s">
        <v>970</v>
      </c>
    </row>
    <row r="8" spans="1:16" s="27" customFormat="1">
      <c r="A8" s="27" t="s">
        <v>971</v>
      </c>
      <c r="B8" s="27" t="s">
        <v>953</v>
      </c>
      <c r="D8" s="27" t="s">
        <v>972</v>
      </c>
      <c r="E8" s="30" t="s">
        <v>973</v>
      </c>
      <c r="G8" s="30"/>
    </row>
    <row r="9" spans="1:16" ht="17.25">
      <c r="A9" t="s">
        <v>974</v>
      </c>
      <c r="B9" t="s">
        <v>953</v>
      </c>
      <c r="C9" s="31" t="s">
        <v>975</v>
      </c>
      <c r="D9" s="31" t="s">
        <v>976</v>
      </c>
      <c r="E9" s="87" t="s">
        <v>977</v>
      </c>
      <c r="F9" s="31" t="s">
        <v>978</v>
      </c>
      <c r="G9" s="87" t="s">
        <v>977</v>
      </c>
      <c r="H9" t="s">
        <v>979</v>
      </c>
    </row>
    <row r="10" spans="1:16" ht="17.25">
      <c r="A10" t="s">
        <v>980</v>
      </c>
      <c r="B10" t="s">
        <v>953</v>
      </c>
      <c r="C10" s="31"/>
      <c r="D10" s="31"/>
      <c r="E10" s="34"/>
      <c r="F10" s="31"/>
      <c r="G10" s="34"/>
    </row>
    <row r="11" spans="1:16" ht="17.25">
      <c r="A11" t="s">
        <v>981</v>
      </c>
      <c r="B11" t="s">
        <v>953</v>
      </c>
      <c r="C11" s="31"/>
      <c r="D11" s="31" t="s">
        <v>982</v>
      </c>
      <c r="E11" s="34" t="s">
        <v>973</v>
      </c>
      <c r="F11" s="31" t="s">
        <v>982</v>
      </c>
      <c r="I11">
        <v>4.2</v>
      </c>
      <c r="K11">
        <v>4.4000000000000004</v>
      </c>
      <c r="M11">
        <v>4</v>
      </c>
    </row>
    <row r="12" spans="1:16" ht="17.25">
      <c r="A12" t="s">
        <v>983</v>
      </c>
      <c r="B12" t="s">
        <v>953</v>
      </c>
      <c r="C12" s="31"/>
      <c r="D12" s="31" t="s">
        <v>984</v>
      </c>
      <c r="E12" s="34" t="s">
        <v>985</v>
      </c>
      <c r="F12" s="31"/>
      <c r="G12" s="10" t="s">
        <v>985</v>
      </c>
    </row>
    <row r="13" spans="1:16" ht="17.25">
      <c r="A13" t="s">
        <v>986</v>
      </c>
      <c r="B13" t="s">
        <v>953</v>
      </c>
      <c r="C13" s="31"/>
      <c r="D13" s="31" t="s">
        <v>987</v>
      </c>
      <c r="E13" s="34"/>
      <c r="F13" s="31"/>
    </row>
    <row r="14" spans="1:16" s="26" customFormat="1">
      <c r="A14" s="26" t="s">
        <v>444</v>
      </c>
      <c r="E14" s="29"/>
      <c r="G14" s="29"/>
    </row>
    <row r="15" spans="1:16">
      <c r="A15" t="s">
        <v>988</v>
      </c>
      <c r="C15" t="s">
        <v>989</v>
      </c>
      <c r="E15" s="10" t="s">
        <v>990</v>
      </c>
    </row>
    <row r="16" spans="1:16">
      <c r="A16" t="s">
        <v>991</v>
      </c>
      <c r="C16" t="s">
        <v>444</v>
      </c>
      <c r="E16" s="10" t="s">
        <v>992</v>
      </c>
    </row>
    <row r="17" spans="1:12" s="28" customFormat="1">
      <c r="A17" s="28" t="s">
        <v>993</v>
      </c>
      <c r="B17" s="28" t="s">
        <v>953</v>
      </c>
      <c r="D17" s="35" t="s">
        <v>994</v>
      </c>
      <c r="E17" s="36"/>
      <c r="G17" s="36"/>
    </row>
    <row r="18" spans="1:12" s="27" customFormat="1">
      <c r="A18" s="27" t="s">
        <v>995</v>
      </c>
      <c r="B18" s="27" t="s">
        <v>996</v>
      </c>
      <c r="C18" s="27" t="s">
        <v>997</v>
      </c>
      <c r="E18" s="30" t="s">
        <v>998</v>
      </c>
      <c r="G18" s="30"/>
    </row>
    <row r="19" spans="1:12" s="27" customFormat="1">
      <c r="A19" s="27" t="s">
        <v>631</v>
      </c>
      <c r="B19" s="27" t="s">
        <v>953</v>
      </c>
      <c r="D19" s="27" t="s">
        <v>999</v>
      </c>
      <c r="E19" s="30" t="s">
        <v>1000</v>
      </c>
      <c r="F19" s="37" t="s">
        <v>1001</v>
      </c>
      <c r="G19" s="30"/>
    </row>
    <row r="20" spans="1:12" s="26" customFormat="1">
      <c r="A20" s="26" t="s">
        <v>129</v>
      </c>
      <c r="E20" s="29"/>
      <c r="G20" s="29"/>
    </row>
    <row r="21" spans="1:12">
      <c r="A21" t="s">
        <v>1002</v>
      </c>
      <c r="B21" t="s">
        <v>953</v>
      </c>
      <c r="C21" t="s">
        <v>1003</v>
      </c>
      <c r="E21" s="10" t="s">
        <v>1004</v>
      </c>
    </row>
    <row r="22" spans="1:12">
      <c r="A22" t="s">
        <v>930</v>
      </c>
      <c r="C22" t="s">
        <v>1003</v>
      </c>
      <c r="E22" s="10" t="s">
        <v>1005</v>
      </c>
    </row>
    <row r="23" spans="1:12">
      <c r="A23" t="s">
        <v>1006</v>
      </c>
      <c r="B23" t="s">
        <v>953</v>
      </c>
      <c r="C23" t="s">
        <v>1007</v>
      </c>
      <c r="E23" s="10" t="s">
        <v>1008</v>
      </c>
    </row>
    <row r="24" spans="1:12">
      <c r="A24" t="s">
        <v>1009</v>
      </c>
      <c r="B24" t="s">
        <v>953</v>
      </c>
    </row>
    <row r="25" spans="1:12" s="27" customFormat="1">
      <c r="A25" s="27" t="s">
        <v>1010</v>
      </c>
      <c r="B25" s="27" t="s">
        <v>953</v>
      </c>
      <c r="D25" s="27" t="s">
        <v>1011</v>
      </c>
      <c r="E25" s="30"/>
      <c r="G25" s="30"/>
    </row>
    <row r="26" spans="1:12" s="28" customFormat="1">
      <c r="A26" s="28" t="s">
        <v>1012</v>
      </c>
      <c r="E26" s="36" t="s">
        <v>1013</v>
      </c>
      <c r="G26" s="36"/>
    </row>
    <row r="27" spans="1:12" s="26" customFormat="1">
      <c r="A27" s="26" t="s">
        <v>200</v>
      </c>
      <c r="E27" s="29"/>
      <c r="G27" s="29"/>
    </row>
    <row r="28" spans="1:12">
      <c r="A28" t="s">
        <v>1014</v>
      </c>
      <c r="B28" t="s">
        <v>953</v>
      </c>
      <c r="C28">
        <v>5</v>
      </c>
    </row>
    <row r="29" spans="1:12">
      <c r="A29" t="s">
        <v>1015</v>
      </c>
      <c r="B29" t="s">
        <v>953</v>
      </c>
      <c r="D29" t="s">
        <v>1016</v>
      </c>
      <c r="E29" s="10" t="s">
        <v>1017</v>
      </c>
      <c r="G29" s="10" t="s">
        <v>1018</v>
      </c>
      <c r="H29" t="s">
        <v>1019</v>
      </c>
    </row>
    <row r="30" spans="1:12">
      <c r="A30" t="s">
        <v>1020</v>
      </c>
      <c r="B30" t="s">
        <v>1021</v>
      </c>
      <c r="D30" t="s">
        <v>1022</v>
      </c>
      <c r="E30" s="10" t="s">
        <v>1023</v>
      </c>
      <c r="F30" t="s">
        <v>1024</v>
      </c>
    </row>
    <row r="31" spans="1:12">
      <c r="A31" t="s">
        <v>1025</v>
      </c>
      <c r="B31" t="s">
        <v>953</v>
      </c>
      <c r="D31" t="s">
        <v>1026</v>
      </c>
      <c r="E31" s="10" t="s">
        <v>1027</v>
      </c>
    </row>
    <row r="32" spans="1:12" s="27" customFormat="1">
      <c r="A32" s="27" t="s">
        <v>1028</v>
      </c>
      <c r="B32" s="27" t="s">
        <v>953</v>
      </c>
      <c r="D32" s="27" t="s">
        <v>1029</v>
      </c>
      <c r="E32" s="30"/>
      <c r="G32" s="30" t="s">
        <v>1030</v>
      </c>
      <c r="I32" s="27">
        <v>4.2</v>
      </c>
      <c r="L32" s="27">
        <v>4.2</v>
      </c>
    </row>
    <row r="33" spans="1:11" s="27" customFormat="1">
      <c r="A33" s="27" t="s">
        <v>1031</v>
      </c>
      <c r="B33" s="27" t="s">
        <v>953</v>
      </c>
      <c r="D33" s="27" t="s">
        <v>1032</v>
      </c>
      <c r="E33" s="30" t="s">
        <v>1033</v>
      </c>
      <c r="F33" s="27" t="s">
        <v>1034</v>
      </c>
      <c r="G33" s="30" t="s">
        <v>1033</v>
      </c>
    </row>
    <row r="34" spans="1:11" s="28" customFormat="1">
      <c r="A34" s="28" t="s">
        <v>1035</v>
      </c>
      <c r="B34" s="28" t="s">
        <v>953</v>
      </c>
      <c r="D34" s="28" t="s">
        <v>1036</v>
      </c>
      <c r="E34" s="36" t="s">
        <v>1037</v>
      </c>
      <c r="G34" s="36"/>
    </row>
    <row r="35" spans="1:11">
      <c r="A35" t="s">
        <v>1038</v>
      </c>
      <c r="B35" t="s">
        <v>953</v>
      </c>
      <c r="D35" t="s">
        <v>1039</v>
      </c>
    </row>
    <row r="36" spans="1:11">
      <c r="A36" t="s">
        <v>1040</v>
      </c>
      <c r="B36" t="s">
        <v>953</v>
      </c>
      <c r="D36" t="s">
        <v>1041</v>
      </c>
      <c r="E36" s="10" t="s">
        <v>1042</v>
      </c>
      <c r="G36" s="10" t="s">
        <v>1042</v>
      </c>
    </row>
    <row r="37" spans="1:11" s="26" customFormat="1">
      <c r="A37" s="26" t="s">
        <v>893</v>
      </c>
      <c r="E37" s="29"/>
      <c r="G37" s="29"/>
    </row>
    <row r="38" spans="1:11" s="27" customFormat="1">
      <c r="A38" s="27" t="s">
        <v>670</v>
      </c>
      <c r="B38" s="27" t="s">
        <v>1021</v>
      </c>
      <c r="D38" s="27" t="s">
        <v>1043</v>
      </c>
      <c r="E38" s="30" t="s">
        <v>1044</v>
      </c>
      <c r="G38" s="30"/>
    </row>
    <row r="39" spans="1:11" s="27" customFormat="1">
      <c r="A39" s="27" t="s">
        <v>1045</v>
      </c>
      <c r="B39" s="27" t="s">
        <v>953</v>
      </c>
      <c r="D39" s="27" t="s">
        <v>1046</v>
      </c>
      <c r="E39" s="30" t="s">
        <v>1047</v>
      </c>
      <c r="G39" s="30"/>
      <c r="J39" s="30" t="s">
        <v>1048</v>
      </c>
      <c r="K39" s="27" t="s">
        <v>1049</v>
      </c>
    </row>
    <row r="41" spans="1:11" s="26" customFormat="1">
      <c r="A41" s="26" t="s">
        <v>459</v>
      </c>
      <c r="E41" s="29"/>
      <c r="G41" s="29"/>
    </row>
    <row r="42" spans="1:11" s="27" customFormat="1">
      <c r="A42" s="27" t="s">
        <v>1050</v>
      </c>
      <c r="B42" s="27" t="s">
        <v>1021</v>
      </c>
      <c r="E42" s="30" t="s">
        <v>1051</v>
      </c>
      <c r="G42" s="30"/>
    </row>
    <row r="43" spans="1:11" s="27" customFormat="1">
      <c r="A43" s="27" t="s">
        <v>1052</v>
      </c>
      <c r="B43" s="27" t="s">
        <v>953</v>
      </c>
      <c r="E43" s="30" t="s">
        <v>1053</v>
      </c>
      <c r="G43" s="30"/>
    </row>
    <row r="46" spans="1:11" s="26" customFormat="1">
      <c r="A46" s="26" t="s">
        <v>1054</v>
      </c>
      <c r="E46" s="29"/>
      <c r="G46" s="29"/>
    </row>
    <row r="47" spans="1:11" s="27" customFormat="1">
      <c r="A47" s="27" t="s">
        <v>1055</v>
      </c>
      <c r="B47" s="27" t="s">
        <v>1021</v>
      </c>
      <c r="E47" s="30" t="s">
        <v>1056</v>
      </c>
      <c r="G47" s="30"/>
      <c r="H47" s="27" t="s">
        <v>1057</v>
      </c>
      <c r="I47" s="27" t="s">
        <v>1058</v>
      </c>
      <c r="J47" s="27">
        <v>12142720396</v>
      </c>
    </row>
    <row r="48" spans="1:11">
      <c r="A48" t="s">
        <v>1059</v>
      </c>
      <c r="B48" t="s">
        <v>953</v>
      </c>
      <c r="E48" s="10" t="s">
        <v>1060</v>
      </c>
    </row>
    <row r="49" spans="1:5">
      <c r="A49" t="s">
        <v>1061</v>
      </c>
      <c r="B49" t="s">
        <v>953</v>
      </c>
      <c r="E49" s="10" t="s">
        <v>1062</v>
      </c>
    </row>
    <row r="50" spans="1:5">
      <c r="A50" t="s">
        <v>1063</v>
      </c>
      <c r="B50" t="s">
        <v>953</v>
      </c>
      <c r="E50" s="10" t="s">
        <v>1064</v>
      </c>
    </row>
    <row r="51" spans="1:5">
      <c r="A51" t="s">
        <v>1065</v>
      </c>
      <c r="E51" s="10" t="s">
        <v>1066</v>
      </c>
    </row>
    <row r="52" spans="1:5">
      <c r="A52" t="s">
        <v>1067</v>
      </c>
      <c r="E52" s="10" t="s">
        <v>1068</v>
      </c>
    </row>
    <row r="53" spans="1:5">
      <c r="A53" t="s">
        <v>1069</v>
      </c>
      <c r="E53" s="10" t="s">
        <v>1070</v>
      </c>
    </row>
    <row r="54" spans="1:5">
      <c r="A54" t="s">
        <v>1071</v>
      </c>
      <c r="E54" s="10" t="s">
        <v>1072</v>
      </c>
    </row>
    <row r="55" spans="1:5">
      <c r="A55" t="s">
        <v>1073</v>
      </c>
      <c r="E55" s="10" t="s">
        <v>1074</v>
      </c>
    </row>
    <row r="56" spans="1:5">
      <c r="A56" t="s">
        <v>1075</v>
      </c>
      <c r="E56" s="10" t="s">
        <v>1076</v>
      </c>
    </row>
    <row r="60" spans="1:5">
      <c r="A60" t="s">
        <v>1077</v>
      </c>
    </row>
    <row r="61" spans="1:5">
      <c r="A61" t="s">
        <v>1078</v>
      </c>
      <c r="B61" t="s">
        <v>1079</v>
      </c>
      <c r="C61" t="s">
        <v>1080</v>
      </c>
    </row>
    <row r="62" spans="1:5">
      <c r="A62" t="s">
        <v>1081</v>
      </c>
    </row>
    <row r="64" spans="1:5">
      <c r="A64" t="s">
        <v>1082</v>
      </c>
    </row>
    <row r="66" spans="1:4">
      <c r="A66" t="s">
        <v>1083</v>
      </c>
    </row>
    <row r="67" spans="1:4">
      <c r="A67" t="s">
        <v>1084</v>
      </c>
      <c r="B67" t="s">
        <v>1085</v>
      </c>
    </row>
    <row r="68" spans="1:4">
      <c r="A68" t="s">
        <v>1086</v>
      </c>
      <c r="B68" t="s">
        <v>1087</v>
      </c>
    </row>
    <row r="69" spans="1:4">
      <c r="A69" t="s">
        <v>1088</v>
      </c>
      <c r="D69" t="s">
        <v>1089</v>
      </c>
    </row>
    <row r="72" spans="1:4">
      <c r="A72" t="s">
        <v>1090</v>
      </c>
      <c r="B72" t="s">
        <v>1091</v>
      </c>
    </row>
    <row r="74" spans="1:4">
      <c r="A74" t="s">
        <v>1092</v>
      </c>
      <c r="B74" t="s">
        <v>1093</v>
      </c>
    </row>
    <row r="76" spans="1:4" ht="45">
      <c r="A76" t="s">
        <v>1094</v>
      </c>
      <c r="B76" s="38" t="s">
        <v>1095</v>
      </c>
    </row>
    <row r="77" spans="1:4" ht="15.75">
      <c r="A77" t="s">
        <v>1096</v>
      </c>
      <c r="B77" s="25" t="s">
        <v>1097</v>
      </c>
    </row>
  </sheetData>
  <hyperlinks>
    <hyperlink ref="F6" r:id="rId1" tooltip="mailto:nasirfarooq_gcu@hotmail.com" xr:uid="{00000000-0004-0000-0300-000000000000}"/>
    <hyperlink ref="H6" r:id="rId2" tooltip="https://www.linkedin.com/in/nasir-farooq-bab5b94b" xr:uid="{00000000-0004-0000-0300-000001000000}"/>
    <hyperlink ref="D6" r:id="rId3" tooltip="mailto:nasirfarooq_gcu@hotmail.com" xr:uid="{00000000-0004-0000-0300-000002000000}"/>
    <hyperlink ref="H5" r:id="rId4" tooltip="https://www.linkedin.com/in/muhammad-salman-farooq-81913740/" xr:uid="{00000000-0004-0000-0300-000003000000}"/>
    <hyperlink ref="F5" r:id="rId5" tooltip="mailto:salmani_25@yahoo.com" xr:uid="{00000000-0004-0000-0300-000004000000}"/>
    <hyperlink ref="D11" r:id="rId6" tooltip="mailto:farrukhshahzad227@gmail.com" xr:uid="{00000000-0004-0000-0300-000005000000}"/>
    <hyperlink ref="F11" r:id="rId7" tooltip="mailto:farrukhshahzad227@gmail.com" xr:uid="{00000000-0004-0000-0300-000006000000}"/>
    <hyperlink ref="F9" r:id="rId8" tooltip="mailto:arhamranjha@gmail.com" xr:uid="{00000000-0004-0000-0300-000007000000}"/>
    <hyperlink ref="F19" r:id="rId9" tooltip="mailto:samee.nuces@gmail.com" xr:uid="{00000000-0004-0000-0300-000008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topLeftCell="B1" workbookViewId="0">
      <selection activeCell="C2" sqref="C2"/>
    </sheetView>
  </sheetViews>
  <sheetFormatPr defaultColWidth="9.140625" defaultRowHeight="15"/>
  <cols>
    <col min="1" max="1" width="59.7109375" customWidth="1"/>
    <col min="2" max="2" width="26.5703125" customWidth="1"/>
    <col min="3" max="3" width="39.28515625" customWidth="1"/>
    <col min="4" max="4" width="41.7109375" customWidth="1"/>
    <col min="5" max="5" width="48.85546875" customWidth="1"/>
    <col min="6" max="6" width="32.85546875" customWidth="1"/>
    <col min="7" max="7" width="38.42578125" customWidth="1"/>
  </cols>
  <sheetData>
    <row r="1" spans="1:7">
      <c r="A1" t="s">
        <v>1098</v>
      </c>
      <c r="B1" t="s">
        <v>1099</v>
      </c>
    </row>
    <row r="2" spans="1:7">
      <c r="A2" t="s">
        <v>1100</v>
      </c>
      <c r="B2" t="s">
        <v>1101</v>
      </c>
      <c r="C2" s="24" t="s">
        <v>1102</v>
      </c>
      <c r="D2" t="s">
        <v>1103</v>
      </c>
      <c r="E2" t="s">
        <v>1104</v>
      </c>
    </row>
    <row r="3" spans="1:7">
      <c r="A3" t="s">
        <v>1105</v>
      </c>
      <c r="B3" t="s">
        <v>1106</v>
      </c>
    </row>
    <row r="4" spans="1:7">
      <c r="A4" t="s">
        <v>1107</v>
      </c>
      <c r="B4" t="s">
        <v>1108</v>
      </c>
      <c r="C4" t="s">
        <v>1109</v>
      </c>
      <c r="D4" t="s">
        <v>1110</v>
      </c>
      <c r="E4" t="s">
        <v>1111</v>
      </c>
      <c r="F4" t="s">
        <v>1112</v>
      </c>
      <c r="G4" t="s">
        <v>1113</v>
      </c>
    </row>
    <row r="5" spans="1:7" ht="15.75">
      <c r="B5" s="25" t="s">
        <v>1097</v>
      </c>
      <c r="C5" s="25" t="s">
        <v>1114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53"/>
  <sheetViews>
    <sheetView topLeftCell="A16" zoomScale="115" zoomScaleNormal="115" workbookViewId="0">
      <selection activeCell="C25" sqref="C25:E27"/>
    </sheetView>
  </sheetViews>
  <sheetFormatPr defaultColWidth="9.140625" defaultRowHeight="15"/>
  <cols>
    <col min="1" max="1" width="13.140625"/>
    <col min="2" max="2" width="10.28515625"/>
    <col min="3" max="3" width="11.42578125" style="20"/>
    <col min="4" max="5" width="12.85546875"/>
    <col min="6" max="7" width="9.5703125"/>
    <col min="8" max="9" width="11.28515625"/>
    <col min="12" max="13" width="9.5703125"/>
    <col min="15" max="17" width="12.85546875"/>
  </cols>
  <sheetData>
    <row r="1" spans="1:25">
      <c r="A1" t="s">
        <v>1115</v>
      </c>
    </row>
    <row r="2" spans="1:25">
      <c r="A2" t="s">
        <v>1116</v>
      </c>
      <c r="L2" t="s">
        <v>39</v>
      </c>
      <c r="M2" t="s">
        <v>1117</v>
      </c>
      <c r="P2">
        <v>5080</v>
      </c>
    </row>
    <row r="3" spans="1:25">
      <c r="A3" t="s">
        <v>1118</v>
      </c>
      <c r="P3">
        <v>5085.99</v>
      </c>
      <c r="R3">
        <v>4951</v>
      </c>
      <c r="W3" t="s">
        <v>94</v>
      </c>
      <c r="X3" t="s">
        <v>1119</v>
      </c>
      <c r="Y3" t="s">
        <v>104</v>
      </c>
    </row>
    <row r="4" spans="1:25">
      <c r="A4" t="s">
        <v>1120</v>
      </c>
      <c r="P4">
        <v>5457.3249999999998</v>
      </c>
      <c r="R4">
        <v>4629</v>
      </c>
    </row>
    <row r="5" spans="1:25">
      <c r="A5" t="s">
        <v>1121</v>
      </c>
      <c r="L5" t="s">
        <v>39</v>
      </c>
      <c r="M5">
        <v>1227</v>
      </c>
      <c r="P5">
        <v>-3000</v>
      </c>
      <c r="Q5">
        <v>4500</v>
      </c>
      <c r="R5">
        <v>-3000</v>
      </c>
      <c r="V5" t="s">
        <v>1122</v>
      </c>
      <c r="W5">
        <v>2980</v>
      </c>
    </row>
    <row r="6" spans="1:25">
      <c r="A6" t="s">
        <v>1123</v>
      </c>
      <c r="L6" s="22">
        <v>45551</v>
      </c>
      <c r="M6">
        <v>-30</v>
      </c>
      <c r="P6">
        <f>SUM(P2,P3,P4,P5)</f>
        <v>12623.315000000001</v>
      </c>
      <c r="R6">
        <f>SUM(R3:R4)</f>
        <v>9580</v>
      </c>
      <c r="V6" t="s">
        <v>1124</v>
      </c>
      <c r="W6">
        <v>4650</v>
      </c>
      <c r="X6">
        <v>2000</v>
      </c>
      <c r="Y6" t="s">
        <v>1125</v>
      </c>
    </row>
    <row r="7" spans="1:25">
      <c r="A7" t="s">
        <v>1126</v>
      </c>
      <c r="L7" s="22">
        <v>45568</v>
      </c>
      <c r="M7">
        <v>-92</v>
      </c>
      <c r="V7" t="s">
        <v>1127</v>
      </c>
      <c r="W7">
        <v>820</v>
      </c>
    </row>
    <row r="8" spans="1:25">
      <c r="A8" t="s">
        <v>1128</v>
      </c>
      <c r="L8" s="22"/>
      <c r="P8">
        <v>6250</v>
      </c>
    </row>
    <row r="9" spans="1:25">
      <c r="A9" t="s">
        <v>1129</v>
      </c>
      <c r="B9" s="21"/>
    </row>
    <row r="10" spans="1:25">
      <c r="A10" t="s">
        <v>1130</v>
      </c>
    </row>
    <row r="11" spans="1:25">
      <c r="A11" t="s">
        <v>1131</v>
      </c>
      <c r="L11" s="22"/>
    </row>
    <row r="12" spans="1:25">
      <c r="A12" t="s">
        <v>1132</v>
      </c>
    </row>
    <row r="13" spans="1:25">
      <c r="A13" t="s">
        <v>1133</v>
      </c>
    </row>
    <row r="15" spans="1:25">
      <c r="E15" t="s">
        <v>1134</v>
      </c>
      <c r="H15" t="s">
        <v>1135</v>
      </c>
      <c r="I15" t="s">
        <v>1136</v>
      </c>
      <c r="L15" t="s">
        <v>1135</v>
      </c>
      <c r="M15">
        <f>SUM(M5:M12)</f>
        <v>1105</v>
      </c>
    </row>
    <row r="16" spans="1:25">
      <c r="A16" t="s">
        <v>916</v>
      </c>
      <c r="B16" t="s">
        <v>917</v>
      </c>
      <c r="C16" s="20" t="s">
        <v>1137</v>
      </c>
      <c r="D16" t="s">
        <v>4</v>
      </c>
      <c r="H16" s="20">
        <f>SUM(C17:C46)</f>
        <v>22079.91</v>
      </c>
      <c r="I16" s="20"/>
    </row>
    <row r="17" spans="1:9">
      <c r="A17" s="22">
        <v>45810</v>
      </c>
      <c r="B17" t="s">
        <v>1138</v>
      </c>
      <c r="C17" s="20">
        <v>8400</v>
      </c>
      <c r="D17" t="s">
        <v>166</v>
      </c>
      <c r="H17" s="20"/>
      <c r="I17" s="20"/>
    </row>
    <row r="18" spans="1:9">
      <c r="A18" s="22">
        <v>45821</v>
      </c>
      <c r="B18" t="s">
        <v>1139</v>
      </c>
      <c r="C18">
        <v>4764.91</v>
      </c>
      <c r="D18" t="s">
        <v>166</v>
      </c>
    </row>
    <row r="19" spans="1:9">
      <c r="B19" t="s">
        <v>1140</v>
      </c>
      <c r="C19" s="20">
        <v>4497.5</v>
      </c>
      <c r="D19" t="s">
        <v>166</v>
      </c>
    </row>
    <row r="20" spans="1:9">
      <c r="B20" t="s">
        <v>925</v>
      </c>
      <c r="C20" s="20">
        <v>4417.5</v>
      </c>
    </row>
    <row r="23" spans="1:9">
      <c r="C23"/>
    </row>
    <row r="25" spans="1:9">
      <c r="E25" s="20"/>
    </row>
    <row r="46" spans="1:9">
      <c r="E46" t="s">
        <v>1134</v>
      </c>
      <c r="H46" t="s">
        <v>1135</v>
      </c>
      <c r="I46" t="s">
        <v>1136</v>
      </c>
    </row>
    <row r="47" spans="1:9">
      <c r="A47" t="s">
        <v>916</v>
      </c>
      <c r="B47" t="s">
        <v>917</v>
      </c>
      <c r="C47" s="20" t="s">
        <v>1137</v>
      </c>
      <c r="D47" t="s">
        <v>4</v>
      </c>
      <c r="E47" t="s">
        <v>488</v>
      </c>
      <c r="F47">
        <v>14000</v>
      </c>
      <c r="H47" s="20">
        <f>SUM(C48:C86)</f>
        <v>43087.77</v>
      </c>
      <c r="I47" s="20"/>
    </row>
    <row r="48" spans="1:9">
      <c r="A48" s="22">
        <v>45534</v>
      </c>
      <c r="B48" t="s">
        <v>39</v>
      </c>
      <c r="C48" s="20">
        <v>-11000</v>
      </c>
      <c r="E48" t="s">
        <v>289</v>
      </c>
      <c r="F48">
        <v>14500</v>
      </c>
    </row>
    <row r="49" spans="1:6">
      <c r="A49" s="22">
        <v>45534</v>
      </c>
      <c r="B49" t="s">
        <v>43</v>
      </c>
      <c r="C49" s="20">
        <v>-500</v>
      </c>
      <c r="D49" t="s">
        <v>1141</v>
      </c>
      <c r="E49" t="s">
        <v>35</v>
      </c>
      <c r="F49">
        <v>29000</v>
      </c>
    </row>
    <row r="50" spans="1:6">
      <c r="A50" s="22">
        <v>45534</v>
      </c>
      <c r="B50" t="s">
        <v>289</v>
      </c>
      <c r="C50" s="20">
        <v>4761</v>
      </c>
      <c r="E50" t="s">
        <v>289</v>
      </c>
      <c r="F50">
        <v>9600</v>
      </c>
    </row>
    <row r="51" spans="1:6">
      <c r="A51" s="22">
        <v>45537</v>
      </c>
      <c r="B51" t="s">
        <v>39</v>
      </c>
      <c r="C51" s="20">
        <v>-2908</v>
      </c>
    </row>
    <row r="52" spans="1:6">
      <c r="A52" s="22">
        <v>45548</v>
      </c>
      <c r="B52" t="s">
        <v>1142</v>
      </c>
      <c r="C52" s="20">
        <v>1914.17</v>
      </c>
    </row>
    <row r="53" spans="1:6">
      <c r="A53" s="22">
        <v>45548</v>
      </c>
      <c r="B53" t="s">
        <v>40</v>
      </c>
      <c r="C53" s="20">
        <v>4571</v>
      </c>
    </row>
    <row r="54" spans="1:6">
      <c r="A54" s="22">
        <v>45552</v>
      </c>
      <c r="B54" t="s">
        <v>1142</v>
      </c>
      <c r="C54" s="20">
        <v>2378.19</v>
      </c>
    </row>
    <row r="55" spans="1:6">
      <c r="A55" s="22">
        <v>45555</v>
      </c>
      <c r="B55" t="s">
        <v>1142</v>
      </c>
      <c r="C55" s="20">
        <v>2378.19</v>
      </c>
    </row>
    <row r="56" spans="1:6">
      <c r="A56" s="22">
        <v>45558</v>
      </c>
      <c r="B56" t="s">
        <v>1143</v>
      </c>
      <c r="C56" s="20">
        <v>11440</v>
      </c>
    </row>
    <row r="57" spans="1:6">
      <c r="A57" s="22">
        <v>45558</v>
      </c>
      <c r="B57" t="s">
        <v>35</v>
      </c>
      <c r="C57" s="20">
        <v>6049.22</v>
      </c>
    </row>
    <row r="58" spans="1:6">
      <c r="A58" s="22">
        <v>45562</v>
      </c>
      <c r="B58" t="s">
        <v>1142</v>
      </c>
      <c r="C58" s="20">
        <v>2378</v>
      </c>
    </row>
    <row r="59" spans="1:6">
      <c r="A59" s="22">
        <v>45565</v>
      </c>
      <c r="B59" t="s">
        <v>40</v>
      </c>
      <c r="C59" s="20">
        <v>4571</v>
      </c>
    </row>
    <row r="60" spans="1:6">
      <c r="A60" s="22">
        <v>45565</v>
      </c>
      <c r="B60" t="s">
        <v>1144</v>
      </c>
      <c r="C60" s="20">
        <v>3164</v>
      </c>
    </row>
    <row r="61" spans="1:6">
      <c r="B61" t="s">
        <v>100</v>
      </c>
      <c r="C61" s="20">
        <v>2100</v>
      </c>
    </row>
    <row r="62" spans="1:6">
      <c r="B62" t="s">
        <v>99</v>
      </c>
      <c r="C62" s="20">
        <v>3230</v>
      </c>
    </row>
    <row r="63" spans="1:6">
      <c r="B63" t="s">
        <v>94</v>
      </c>
      <c r="C63" s="20">
        <v>820</v>
      </c>
    </row>
    <row r="64" spans="1:6">
      <c r="B64" t="s">
        <v>1119</v>
      </c>
      <c r="C64" s="20">
        <v>2000</v>
      </c>
    </row>
    <row r="65" spans="2:3">
      <c r="B65" t="s">
        <v>96</v>
      </c>
      <c r="C65" s="20">
        <v>878</v>
      </c>
    </row>
    <row r="66" spans="2:3">
      <c r="B66" t="s">
        <v>1145</v>
      </c>
      <c r="C66" s="20">
        <v>6167</v>
      </c>
    </row>
    <row r="67" spans="2:3">
      <c r="B67" t="s">
        <v>1146</v>
      </c>
      <c r="C67" s="20">
        <v>1500</v>
      </c>
    </row>
    <row r="68" spans="2:3">
      <c r="B68" t="s">
        <v>1147</v>
      </c>
      <c r="C68" s="20">
        <v>-1530</v>
      </c>
    </row>
    <row r="69" spans="2:3">
      <c r="C69" s="20">
        <v>-30</v>
      </c>
    </row>
    <row r="70" spans="2:3">
      <c r="B70" t="s">
        <v>1148</v>
      </c>
      <c r="C70" s="20">
        <v>-1000</v>
      </c>
    </row>
    <row r="71" spans="2:3">
      <c r="C71" s="20">
        <v>-35</v>
      </c>
    </row>
    <row r="72" spans="2:3">
      <c r="C72" s="20">
        <v>-50</v>
      </c>
    </row>
    <row r="73" spans="2:3">
      <c r="C73" s="20">
        <v>-35</v>
      </c>
    </row>
    <row r="74" spans="2:3">
      <c r="C74" s="20">
        <v>-35</v>
      </c>
    </row>
    <row r="75" spans="2:3">
      <c r="C75" s="20">
        <v>-300</v>
      </c>
    </row>
    <row r="76" spans="2:3">
      <c r="C76" s="20">
        <v>-85</v>
      </c>
    </row>
    <row r="77" spans="2:3">
      <c r="B77" t="s">
        <v>1149</v>
      </c>
      <c r="C77" s="20">
        <v>-129</v>
      </c>
    </row>
    <row r="78" spans="2:3">
      <c r="C78" s="20">
        <v>-700</v>
      </c>
    </row>
    <row r="79" spans="2:3">
      <c r="C79" s="20">
        <v>-300</v>
      </c>
    </row>
    <row r="80" spans="2:3">
      <c r="C80" s="20">
        <v>1425</v>
      </c>
    </row>
    <row r="96" spans="5:9">
      <c r="E96" t="s">
        <v>1134</v>
      </c>
      <c r="H96" t="s">
        <v>1135</v>
      </c>
      <c r="I96" t="s">
        <v>1136</v>
      </c>
    </row>
    <row r="97" spans="1:9">
      <c r="A97" t="s">
        <v>916</v>
      </c>
      <c r="B97" t="s">
        <v>917</v>
      </c>
      <c r="C97" s="20" t="s">
        <v>1137</v>
      </c>
      <c r="D97" t="s">
        <v>4</v>
      </c>
      <c r="E97">
        <v>35000</v>
      </c>
      <c r="F97" t="s">
        <v>1150</v>
      </c>
      <c r="H97" s="20">
        <f>SUM(C100:C136)</f>
        <v>59339.78</v>
      </c>
      <c r="I97" s="20"/>
    </row>
    <row r="98" spans="1:9">
      <c r="A98" s="22">
        <v>45496</v>
      </c>
      <c r="B98" t="s">
        <v>1151</v>
      </c>
      <c r="C98" s="20">
        <v>-415</v>
      </c>
      <c r="H98" s="20"/>
      <c r="I98" s="20"/>
    </row>
    <row r="99" spans="1:9">
      <c r="A99" s="22">
        <v>45496</v>
      </c>
      <c r="B99" t="s">
        <v>1152</v>
      </c>
      <c r="C99" s="20">
        <v>-35</v>
      </c>
      <c r="H99" s="20" t="s">
        <v>1153</v>
      </c>
      <c r="I99" s="20"/>
    </row>
    <row r="100" spans="1:9">
      <c r="A100" s="22">
        <v>45498</v>
      </c>
      <c r="B100" t="s">
        <v>1154</v>
      </c>
      <c r="C100" s="20">
        <v>4321.9799999999996</v>
      </c>
      <c r="E100">
        <v>14800</v>
      </c>
      <c r="F100" t="s">
        <v>289</v>
      </c>
      <c r="H100" s="20">
        <v>59002</v>
      </c>
      <c r="I100" s="20"/>
    </row>
    <row r="101" spans="1:9">
      <c r="A101" s="22">
        <v>45498</v>
      </c>
      <c r="B101" t="s">
        <v>943</v>
      </c>
      <c r="C101" s="20">
        <v>-101.5</v>
      </c>
      <c r="E101" s="23">
        <v>19000</v>
      </c>
      <c r="F101" s="23" t="s">
        <v>35</v>
      </c>
      <c r="G101" s="23"/>
      <c r="H101" s="20"/>
      <c r="I101" s="20"/>
    </row>
    <row r="102" spans="1:9">
      <c r="A102" s="22">
        <v>45498</v>
      </c>
      <c r="B102" t="s">
        <v>1142</v>
      </c>
      <c r="C102" s="20">
        <v>2378.19</v>
      </c>
      <c r="E102">
        <v>2000</v>
      </c>
      <c r="F102" t="s">
        <v>1119</v>
      </c>
      <c r="H102" s="20"/>
      <c r="I102" s="20"/>
    </row>
    <row r="103" spans="1:9">
      <c r="A103" s="22">
        <v>45504</v>
      </c>
      <c r="B103" t="s">
        <v>289</v>
      </c>
      <c r="C103">
        <v>4761.79</v>
      </c>
      <c r="E103">
        <v>4000</v>
      </c>
      <c r="F103" t="s">
        <v>91</v>
      </c>
    </row>
    <row r="104" spans="1:9">
      <c r="A104" s="22">
        <v>45504</v>
      </c>
      <c r="B104" t="s">
        <v>1155</v>
      </c>
      <c r="C104">
        <v>4545.82</v>
      </c>
      <c r="E104" s="20">
        <v>4000</v>
      </c>
      <c r="F104" t="s">
        <v>93</v>
      </c>
    </row>
    <row r="105" spans="1:9">
      <c r="A105" s="22">
        <v>45508</v>
      </c>
      <c r="B105" t="s">
        <v>1142</v>
      </c>
      <c r="C105" s="20">
        <v>2378.19</v>
      </c>
      <c r="E105">
        <v>3200</v>
      </c>
      <c r="F105" t="s">
        <v>94</v>
      </c>
    </row>
    <row r="106" spans="1:9">
      <c r="A106" s="22"/>
      <c r="B106" t="s">
        <v>1156</v>
      </c>
      <c r="C106">
        <v>-14795</v>
      </c>
      <c r="E106">
        <v>4000</v>
      </c>
      <c r="F106" t="s">
        <v>1157</v>
      </c>
    </row>
    <row r="107" spans="1:9">
      <c r="A107" s="22">
        <v>45506</v>
      </c>
      <c r="B107" t="s">
        <v>1158</v>
      </c>
      <c r="C107" s="20">
        <v>-35</v>
      </c>
      <c r="E107">
        <v>12000</v>
      </c>
      <c r="F107" t="s">
        <v>488</v>
      </c>
    </row>
    <row r="108" spans="1:9">
      <c r="A108" s="22">
        <v>45512</v>
      </c>
      <c r="B108" t="s">
        <v>1158</v>
      </c>
      <c r="C108" s="20">
        <v>-57</v>
      </c>
    </row>
    <row r="109" spans="1:9">
      <c r="A109" s="22">
        <v>45504</v>
      </c>
      <c r="B109" t="s">
        <v>1158</v>
      </c>
      <c r="C109" s="20">
        <v>-25</v>
      </c>
    </row>
    <row r="110" spans="1:9">
      <c r="A110" s="22">
        <v>45504</v>
      </c>
      <c r="B110" t="s">
        <v>1158</v>
      </c>
      <c r="C110" s="20">
        <v>-28.53</v>
      </c>
      <c r="E110">
        <f>SUM(E97:E109)</f>
        <v>98000</v>
      </c>
    </row>
    <row r="111" spans="1:9">
      <c r="A111" s="22"/>
      <c r="B111" t="s">
        <v>1152</v>
      </c>
      <c r="C111" s="20">
        <v>-100</v>
      </c>
    </row>
    <row r="112" spans="1:9">
      <c r="A112" s="22"/>
    </row>
    <row r="113" spans="1:6">
      <c r="A113" s="22">
        <v>45512</v>
      </c>
      <c r="B113" t="s">
        <v>1159</v>
      </c>
      <c r="C113" s="20">
        <v>7321</v>
      </c>
    </row>
    <row r="114" spans="1:6">
      <c r="A114" s="22">
        <v>45512</v>
      </c>
      <c r="B114" t="s">
        <v>35</v>
      </c>
      <c r="C114" s="20">
        <v>-5102</v>
      </c>
    </row>
    <row r="115" spans="1:6">
      <c r="A115" s="22">
        <v>45512</v>
      </c>
      <c r="B115" t="s">
        <v>1160</v>
      </c>
      <c r="C115" s="20">
        <v>-560</v>
      </c>
    </row>
    <row r="116" spans="1:6">
      <c r="A116" s="22">
        <v>45519</v>
      </c>
      <c r="B116" t="s">
        <v>289</v>
      </c>
      <c r="C116">
        <v>4761.79</v>
      </c>
    </row>
    <row r="117" spans="1:6">
      <c r="A117" s="22">
        <v>45513</v>
      </c>
      <c r="B117" t="s">
        <v>1161</v>
      </c>
      <c r="C117">
        <v>-50</v>
      </c>
    </row>
    <row r="118" spans="1:6">
      <c r="A118" s="22">
        <v>45512</v>
      </c>
      <c r="B118" t="s">
        <v>1151</v>
      </c>
      <c r="C118">
        <v>-400</v>
      </c>
    </row>
    <row r="119" spans="1:6">
      <c r="A119" s="22">
        <v>45512</v>
      </c>
      <c r="B119" t="s">
        <v>1142</v>
      </c>
      <c r="C119" s="20">
        <v>2378.19</v>
      </c>
    </row>
    <row r="120" spans="1:6">
      <c r="A120" s="22">
        <v>45519</v>
      </c>
      <c r="B120" t="s">
        <v>1155</v>
      </c>
      <c r="C120" s="20">
        <v>4545.82</v>
      </c>
    </row>
    <row r="121" spans="1:6">
      <c r="A121" s="22">
        <v>45520</v>
      </c>
      <c r="B121" t="s">
        <v>1142</v>
      </c>
      <c r="C121" s="20">
        <v>2378.19</v>
      </c>
    </row>
    <row r="122" spans="1:6">
      <c r="A122" s="22">
        <v>45520</v>
      </c>
      <c r="B122" t="s">
        <v>1143</v>
      </c>
      <c r="C122">
        <v>11325</v>
      </c>
    </row>
    <row r="123" spans="1:6">
      <c r="A123" s="22">
        <v>45527</v>
      </c>
      <c r="B123" t="s">
        <v>1142</v>
      </c>
      <c r="C123" s="20">
        <v>2378.19</v>
      </c>
    </row>
    <row r="124" spans="1:6">
      <c r="A124" s="22"/>
      <c r="C124" s="20">
        <v>6407</v>
      </c>
    </row>
    <row r="125" spans="1:6">
      <c r="A125" s="22">
        <v>45534</v>
      </c>
      <c r="B125" t="s">
        <v>1142</v>
      </c>
      <c r="C125" s="20">
        <v>2378.19</v>
      </c>
      <c r="E125">
        <v>0</v>
      </c>
      <c r="F125">
        <v>0</v>
      </c>
    </row>
    <row r="126" spans="1:6">
      <c r="A126" s="22"/>
      <c r="C126" s="20">
        <v>-35</v>
      </c>
    </row>
    <row r="127" spans="1:6">
      <c r="C127" s="20">
        <v>-78.53</v>
      </c>
    </row>
    <row r="128" spans="1:6">
      <c r="A128" s="8"/>
      <c r="C128" s="20">
        <v>4650</v>
      </c>
    </row>
    <row r="129" spans="2:3">
      <c r="B129" t="s">
        <v>93</v>
      </c>
      <c r="C129" s="20">
        <v>3770</v>
      </c>
    </row>
    <row r="130" spans="2:3">
      <c r="C130">
        <v>-180</v>
      </c>
    </row>
    <row r="131" spans="2:3">
      <c r="C131">
        <v>5861</v>
      </c>
    </row>
    <row r="132" spans="2:3">
      <c r="B132" t="s">
        <v>1149</v>
      </c>
      <c r="C132">
        <v>-129</v>
      </c>
    </row>
    <row r="133" spans="2:3">
      <c r="B133" t="s">
        <v>1162</v>
      </c>
      <c r="C133" s="20">
        <v>-24</v>
      </c>
    </row>
    <row r="134" spans="2:3">
      <c r="B134" t="s">
        <v>1119</v>
      </c>
      <c r="C134" s="20">
        <v>2000</v>
      </c>
    </row>
    <row r="135" spans="2:3">
      <c r="B135" t="s">
        <v>93</v>
      </c>
      <c r="C135" s="20">
        <v>2500</v>
      </c>
    </row>
    <row r="145" spans="1:9">
      <c r="E145" t="s">
        <v>1134</v>
      </c>
      <c r="H145" t="s">
        <v>1135</v>
      </c>
      <c r="I145" t="s">
        <v>1136</v>
      </c>
    </row>
    <row r="146" spans="1:9">
      <c r="A146" t="s">
        <v>916</v>
      </c>
      <c r="B146" t="s">
        <v>917</v>
      </c>
      <c r="C146" s="20" t="s">
        <v>1137</v>
      </c>
      <c r="D146" t="s">
        <v>4</v>
      </c>
      <c r="H146" s="20">
        <f>SUM(C148:C180)</f>
        <v>51842.84</v>
      </c>
      <c r="I146" s="20">
        <f>H146+E157</f>
        <v>83855.839999999997</v>
      </c>
    </row>
    <row r="147" spans="1:9">
      <c r="A147" s="22">
        <v>45461</v>
      </c>
      <c r="B147" t="s">
        <v>943</v>
      </c>
      <c r="C147" s="20">
        <v>-35</v>
      </c>
      <c r="H147" s="20"/>
      <c r="I147" s="20"/>
    </row>
    <row r="148" spans="1:9">
      <c r="A148" s="22">
        <v>45461</v>
      </c>
      <c r="B148" t="s">
        <v>1160</v>
      </c>
      <c r="C148" s="20">
        <v>-510</v>
      </c>
      <c r="E148" s="23">
        <v>7395</v>
      </c>
      <c r="F148" s="23" t="s">
        <v>1159</v>
      </c>
      <c r="G148" s="23"/>
      <c r="H148" s="20"/>
      <c r="I148" s="20"/>
    </row>
    <row r="149" spans="1:9">
      <c r="A149" s="22">
        <v>45464</v>
      </c>
      <c r="B149" t="s">
        <v>1142</v>
      </c>
      <c r="C149" s="20">
        <v>2374.16</v>
      </c>
      <c r="E149">
        <v>14960</v>
      </c>
      <c r="F149" t="s">
        <v>1163</v>
      </c>
      <c r="H149" s="20"/>
      <c r="I149" s="20"/>
    </row>
    <row r="150" spans="1:9">
      <c r="A150" s="22">
        <v>45464</v>
      </c>
      <c r="B150" t="s">
        <v>1143</v>
      </c>
      <c r="C150">
        <v>11840</v>
      </c>
      <c r="E150">
        <v>4300</v>
      </c>
      <c r="F150" t="s">
        <v>1160</v>
      </c>
    </row>
    <row r="151" spans="1:9">
      <c r="A151" s="22">
        <v>45464</v>
      </c>
      <c r="B151" t="s">
        <v>55</v>
      </c>
      <c r="C151">
        <v>1370.81</v>
      </c>
      <c r="E151" s="20">
        <v>3358</v>
      </c>
      <c r="F151" t="s">
        <v>1164</v>
      </c>
    </row>
    <row r="152" spans="1:9">
      <c r="A152" s="22">
        <v>45464</v>
      </c>
      <c r="B152" t="s">
        <v>55</v>
      </c>
      <c r="C152" s="20">
        <v>1314</v>
      </c>
      <c r="E152">
        <v>2000</v>
      </c>
      <c r="F152" t="s">
        <v>1119</v>
      </c>
    </row>
    <row r="153" spans="1:9">
      <c r="A153" s="22">
        <v>45464</v>
      </c>
      <c r="B153" t="s">
        <v>101</v>
      </c>
      <c r="C153">
        <v>1828.53</v>
      </c>
    </row>
    <row r="154" spans="1:9">
      <c r="A154" s="22">
        <v>45471</v>
      </c>
      <c r="B154" t="s">
        <v>289</v>
      </c>
      <c r="C154" s="20">
        <v>4809.8900000000003</v>
      </c>
    </row>
    <row r="155" spans="1:9">
      <c r="A155" s="22">
        <v>45471</v>
      </c>
      <c r="B155" t="s">
        <v>1160</v>
      </c>
      <c r="C155" s="20">
        <v>4278.76</v>
      </c>
    </row>
    <row r="156" spans="1:9">
      <c r="A156" s="22">
        <v>45471</v>
      </c>
      <c r="B156" t="s">
        <v>1142</v>
      </c>
      <c r="C156" s="20">
        <v>2378.19</v>
      </c>
    </row>
    <row r="157" spans="1:9">
      <c r="A157" s="22">
        <v>45471</v>
      </c>
      <c r="B157" t="s">
        <v>101</v>
      </c>
      <c r="C157" s="20">
        <v>1828.53</v>
      </c>
      <c r="E157">
        <f>SUM(E146:E156)</f>
        <v>32013</v>
      </c>
    </row>
    <row r="158" spans="1:9">
      <c r="A158" s="22">
        <v>45471</v>
      </c>
      <c r="B158" t="s">
        <v>1155</v>
      </c>
      <c r="C158" s="20">
        <v>4591.74</v>
      </c>
    </row>
    <row r="159" spans="1:9">
      <c r="A159" s="22">
        <v>45474</v>
      </c>
      <c r="B159" t="s">
        <v>39</v>
      </c>
      <c r="C159" s="20">
        <v>-15816</v>
      </c>
    </row>
    <row r="160" spans="1:9">
      <c r="A160" s="22">
        <v>45478</v>
      </c>
      <c r="B160" t="s">
        <v>101</v>
      </c>
      <c r="C160" s="20">
        <v>1097.1199999999999</v>
      </c>
    </row>
    <row r="161" spans="1:3">
      <c r="A161" s="22">
        <v>45478</v>
      </c>
      <c r="B161" t="s">
        <v>1142</v>
      </c>
      <c r="C161" s="20">
        <v>2378.1999999999998</v>
      </c>
    </row>
    <row r="162" spans="1:3">
      <c r="A162" s="22">
        <v>45476</v>
      </c>
      <c r="B162" t="s">
        <v>1151</v>
      </c>
      <c r="C162" s="20">
        <v>-621</v>
      </c>
    </row>
    <row r="163" spans="1:3">
      <c r="A163" s="22">
        <v>45476</v>
      </c>
      <c r="B163" t="s">
        <v>1152</v>
      </c>
      <c r="C163">
        <v>-35</v>
      </c>
    </row>
    <row r="164" spans="1:3">
      <c r="A164" s="22">
        <v>45485</v>
      </c>
      <c r="B164" t="s">
        <v>1142</v>
      </c>
      <c r="C164">
        <v>1914</v>
      </c>
    </row>
    <row r="165" spans="1:3">
      <c r="A165" s="22">
        <v>45488</v>
      </c>
      <c r="B165" t="s">
        <v>1155</v>
      </c>
      <c r="C165">
        <v>4545.82</v>
      </c>
    </row>
    <row r="166" spans="1:3">
      <c r="A166" s="22">
        <v>45488</v>
      </c>
      <c r="B166" t="s">
        <v>289</v>
      </c>
      <c r="C166" s="20">
        <v>4809.8999999999996</v>
      </c>
    </row>
    <row r="167" spans="1:3">
      <c r="A167" s="22">
        <v>45485</v>
      </c>
      <c r="B167" t="s">
        <v>101</v>
      </c>
      <c r="C167" s="20">
        <v>1462.82</v>
      </c>
    </row>
    <row r="168" spans="1:3">
      <c r="A168" s="22">
        <v>45488</v>
      </c>
      <c r="B168" t="s">
        <v>1152</v>
      </c>
      <c r="C168" s="20">
        <v>-35</v>
      </c>
    </row>
    <row r="169" spans="1:3">
      <c r="A169" s="22">
        <v>45489</v>
      </c>
      <c r="B169" t="s">
        <v>1143</v>
      </c>
      <c r="C169">
        <v>6760</v>
      </c>
    </row>
    <row r="170" spans="1:3">
      <c r="A170" s="22">
        <v>45492</v>
      </c>
      <c r="B170" t="s">
        <v>1142</v>
      </c>
      <c r="C170" s="20">
        <v>2378.19</v>
      </c>
    </row>
    <row r="171" spans="1:3">
      <c r="A171" s="22">
        <v>45492</v>
      </c>
      <c r="B171" t="s">
        <v>101</v>
      </c>
      <c r="C171" s="20">
        <v>1828.53</v>
      </c>
    </row>
    <row r="172" spans="1:3">
      <c r="A172" s="22">
        <v>45464</v>
      </c>
      <c r="B172" t="s">
        <v>55</v>
      </c>
      <c r="C172" s="20">
        <v>-1800</v>
      </c>
    </row>
    <row r="173" spans="1:3">
      <c r="A173" s="22">
        <v>45470</v>
      </c>
      <c r="B173" t="s">
        <v>1165</v>
      </c>
      <c r="C173" s="20">
        <v>-23.95</v>
      </c>
    </row>
    <row r="174" spans="1:3">
      <c r="B174" t="s">
        <v>101</v>
      </c>
      <c r="C174" s="20">
        <v>-1530</v>
      </c>
    </row>
    <row r="175" spans="1:3">
      <c r="A175" s="8"/>
      <c r="B175" t="s">
        <v>101</v>
      </c>
      <c r="C175" s="20">
        <v>-1530</v>
      </c>
    </row>
    <row r="176" spans="1:3">
      <c r="B176" t="s">
        <v>1166</v>
      </c>
      <c r="C176" s="20">
        <v>-95.4</v>
      </c>
    </row>
    <row r="177" spans="2:4">
      <c r="B177" t="s">
        <v>1167</v>
      </c>
      <c r="C177">
        <v>3920</v>
      </c>
    </row>
    <row r="178" spans="2:4">
      <c r="B178" t="s">
        <v>94</v>
      </c>
      <c r="C178">
        <v>2980</v>
      </c>
      <c r="D178" t="s">
        <v>1168</v>
      </c>
    </row>
    <row r="179" spans="2:4">
      <c r="B179" t="s">
        <v>91</v>
      </c>
      <c r="C179">
        <v>3150</v>
      </c>
    </row>
    <row r="198" spans="1:13">
      <c r="A198" s="8">
        <v>45352</v>
      </c>
      <c r="B198" t="s">
        <v>1169</v>
      </c>
      <c r="D198" s="21">
        <v>98460.78</v>
      </c>
      <c r="M198" s="21"/>
    </row>
    <row r="199" spans="1:13">
      <c r="A199">
        <v>2</v>
      </c>
      <c r="B199" t="s">
        <v>1170</v>
      </c>
      <c r="D199" s="21">
        <v>50762.26</v>
      </c>
      <c r="M199" s="21"/>
    </row>
    <row r="200" spans="1:13">
      <c r="A200">
        <v>3</v>
      </c>
      <c r="B200" t="s">
        <v>1171</v>
      </c>
      <c r="D200" s="21">
        <v>38981</v>
      </c>
      <c r="M200" s="21"/>
    </row>
    <row r="201" spans="1:13">
      <c r="A201">
        <v>4</v>
      </c>
      <c r="B201" t="s">
        <v>1172</v>
      </c>
      <c r="D201" s="21">
        <v>32349.08</v>
      </c>
      <c r="M201" s="21"/>
    </row>
    <row r="202" spans="1:13">
      <c r="A202">
        <v>5</v>
      </c>
      <c r="B202" t="s">
        <v>1173</v>
      </c>
      <c r="D202" s="21">
        <v>11352.08</v>
      </c>
      <c r="M202" s="21"/>
    </row>
    <row r="203" spans="1:13">
      <c r="A203">
        <v>6</v>
      </c>
      <c r="B203" t="s">
        <v>1174</v>
      </c>
      <c r="D203" s="21">
        <v>10488.8</v>
      </c>
      <c r="M203" s="21"/>
    </row>
    <row r="204" spans="1:13">
      <c r="A204">
        <v>7</v>
      </c>
      <c r="B204" t="s">
        <v>1175</v>
      </c>
      <c r="D204" s="21">
        <v>7293.11</v>
      </c>
      <c r="M204" s="21"/>
    </row>
    <row r="205" spans="1:13">
      <c r="A205">
        <v>8</v>
      </c>
      <c r="B205" t="s">
        <v>1176</v>
      </c>
      <c r="D205" s="21">
        <v>6042.75</v>
      </c>
      <c r="M205" s="21"/>
    </row>
    <row r="206" spans="1:13">
      <c r="A206">
        <v>9</v>
      </c>
      <c r="B206" t="s">
        <v>1177</v>
      </c>
      <c r="D206" s="21">
        <v>5071.7700000000004</v>
      </c>
      <c r="M206" s="21"/>
    </row>
    <row r="207" spans="1:13">
      <c r="A207">
        <v>10</v>
      </c>
      <c r="B207" t="s">
        <v>1178</v>
      </c>
      <c r="D207" s="21">
        <v>2000</v>
      </c>
      <c r="M207" s="21"/>
    </row>
    <row r="208" spans="1:13">
      <c r="A208">
        <v>11</v>
      </c>
      <c r="B208" t="s">
        <v>1179</v>
      </c>
      <c r="D208" s="21">
        <v>1149.53</v>
      </c>
      <c r="M208" s="21"/>
    </row>
    <row r="209" spans="1:13">
      <c r="A209">
        <v>12</v>
      </c>
      <c r="B209" t="s">
        <v>1180</v>
      </c>
      <c r="D209">
        <v>660</v>
      </c>
      <c r="M209" s="21"/>
    </row>
    <row r="210" spans="1:13">
      <c r="A210">
        <v>13</v>
      </c>
      <c r="B210" t="s">
        <v>1181</v>
      </c>
      <c r="D210" t="s">
        <v>1182</v>
      </c>
    </row>
    <row r="211" spans="1:13">
      <c r="A211">
        <v>13</v>
      </c>
      <c r="B211" t="s">
        <v>1183</v>
      </c>
      <c r="D211" t="s">
        <v>1182</v>
      </c>
    </row>
    <row r="212" spans="1:13">
      <c r="A212">
        <v>13</v>
      </c>
      <c r="B212" t="s">
        <v>1184</v>
      </c>
      <c r="D212" t="s">
        <v>1182</v>
      </c>
    </row>
    <row r="213" spans="1:13">
      <c r="A213">
        <v>16</v>
      </c>
      <c r="B213" t="s">
        <v>1185</v>
      </c>
      <c r="D213">
        <v>-71</v>
      </c>
    </row>
    <row r="214" spans="1:13">
      <c r="A214">
        <v>17</v>
      </c>
      <c r="B214" t="s">
        <v>1186</v>
      </c>
      <c r="D214">
        <v>-77.260000000000005</v>
      </c>
    </row>
    <row r="215" spans="1:13">
      <c r="A215">
        <v>18</v>
      </c>
      <c r="B215" t="s">
        <v>1187</v>
      </c>
      <c r="D215">
        <v>-85</v>
      </c>
    </row>
    <row r="216" spans="1:13">
      <c r="A216">
        <v>19</v>
      </c>
      <c r="B216" t="s">
        <v>1188</v>
      </c>
      <c r="D216">
        <v>-310</v>
      </c>
      <c r="M216" s="21"/>
    </row>
    <row r="217" spans="1:13">
      <c r="A217">
        <v>20</v>
      </c>
      <c r="B217" t="s">
        <v>1189</v>
      </c>
      <c r="D217">
        <v>-946</v>
      </c>
      <c r="M217" s="21"/>
    </row>
    <row r="218" spans="1:13">
      <c r="D218" s="21">
        <f>SUM(D198:D217)</f>
        <v>263121.90000000002</v>
      </c>
    </row>
    <row r="228" spans="1:10">
      <c r="A228" t="s">
        <v>1128</v>
      </c>
    </row>
    <row r="229" spans="1:10">
      <c r="A229" t="s">
        <v>1190</v>
      </c>
      <c r="B229" t="s">
        <v>916</v>
      </c>
      <c r="H229" t="s">
        <v>1191</v>
      </c>
      <c r="I229" t="s">
        <v>1134</v>
      </c>
    </row>
    <row r="230" spans="1:10">
      <c r="A230" t="s">
        <v>1192</v>
      </c>
      <c r="B230" s="22">
        <v>45148</v>
      </c>
      <c r="C230" s="20">
        <v>4422.6099999999997</v>
      </c>
      <c r="E230" t="s">
        <v>1193</v>
      </c>
      <c r="H230">
        <f>SUM(C230:C261)</f>
        <v>65203.67</v>
      </c>
      <c r="I230">
        <v>14000</v>
      </c>
      <c r="J230" t="s">
        <v>1194</v>
      </c>
    </row>
    <row r="231" spans="1:10">
      <c r="A231" t="s">
        <v>1195</v>
      </c>
      <c r="B231" s="22">
        <v>45149</v>
      </c>
      <c r="C231" s="20">
        <v>2560</v>
      </c>
      <c r="I231">
        <v>4150</v>
      </c>
      <c r="J231" t="s">
        <v>83</v>
      </c>
    </row>
    <row r="232" spans="1:10">
      <c r="A232" t="s">
        <v>1196</v>
      </c>
      <c r="B232" s="22">
        <v>45149</v>
      </c>
      <c r="C232" s="20">
        <v>2295.0100000000002</v>
      </c>
      <c r="I232">
        <v>4790</v>
      </c>
      <c r="J232" t="s">
        <v>1197</v>
      </c>
    </row>
    <row r="233" spans="1:10">
      <c r="A233" t="s">
        <v>1194</v>
      </c>
      <c r="B233" s="22">
        <v>45152</v>
      </c>
      <c r="C233" s="20">
        <v>-2250</v>
      </c>
      <c r="I233">
        <v>2500</v>
      </c>
      <c r="J233" t="s">
        <v>1198</v>
      </c>
    </row>
    <row r="234" spans="1:10">
      <c r="A234" t="s">
        <v>78</v>
      </c>
      <c r="B234" s="22">
        <v>45153</v>
      </c>
      <c r="C234" s="20">
        <v>4754</v>
      </c>
      <c r="I234">
        <v>8600</v>
      </c>
      <c r="J234" t="s">
        <v>341</v>
      </c>
    </row>
    <row r="235" spans="1:10">
      <c r="C235" s="20">
        <v>-35</v>
      </c>
      <c r="I235">
        <v>4000</v>
      </c>
      <c r="J235" t="s">
        <v>1199</v>
      </c>
    </row>
    <row r="236" spans="1:10">
      <c r="A236" t="s">
        <v>1200</v>
      </c>
      <c r="B236" s="22">
        <v>45154</v>
      </c>
      <c r="C236" s="20">
        <v>2713</v>
      </c>
      <c r="I236">
        <f>SUM(I230:I235)</f>
        <v>38040</v>
      </c>
      <c r="J236" t="s">
        <v>1133</v>
      </c>
    </row>
    <row r="237" spans="1:10">
      <c r="B237" s="22"/>
      <c r="C237" s="20">
        <v>-100</v>
      </c>
      <c r="E237" t="s">
        <v>1201</v>
      </c>
      <c r="H237">
        <f>SUM(I230:I235)</f>
        <v>38040</v>
      </c>
    </row>
    <row r="238" spans="1:10">
      <c r="A238" t="s">
        <v>1198</v>
      </c>
      <c r="B238" s="22">
        <v>45154</v>
      </c>
      <c r="C238" s="20">
        <v>3750</v>
      </c>
    </row>
    <row r="239" spans="1:10">
      <c r="A239" t="s">
        <v>1198</v>
      </c>
      <c r="B239" s="22">
        <v>45148</v>
      </c>
      <c r="C239" s="20">
        <v>0</v>
      </c>
      <c r="D239" t="s">
        <v>1202</v>
      </c>
    </row>
    <row r="240" spans="1:10">
      <c r="A240" t="s">
        <v>1195</v>
      </c>
      <c r="B240" s="22">
        <v>45155</v>
      </c>
      <c r="C240" s="20">
        <v>2560</v>
      </c>
      <c r="E240" t="s">
        <v>1203</v>
      </c>
      <c r="H240">
        <f>SUM(H230:H238)</f>
        <v>103243.67</v>
      </c>
    </row>
    <row r="241" spans="1:3">
      <c r="A241" t="s">
        <v>83</v>
      </c>
      <c r="B241" s="22">
        <v>45156</v>
      </c>
      <c r="C241" s="20">
        <v>539</v>
      </c>
    </row>
    <row r="242" spans="1:3">
      <c r="A242" t="s">
        <v>83</v>
      </c>
      <c r="B242" s="22">
        <v>45156</v>
      </c>
      <c r="C242" s="20">
        <v>4128</v>
      </c>
    </row>
    <row r="243" spans="1:3">
      <c r="C243" s="20">
        <v>-135</v>
      </c>
    </row>
    <row r="244" spans="1:3">
      <c r="C244" s="20">
        <v>-816</v>
      </c>
    </row>
    <row r="245" spans="1:3">
      <c r="A245" t="s">
        <v>1195</v>
      </c>
      <c r="B245" s="22">
        <v>45162</v>
      </c>
      <c r="C245" s="20">
        <v>2560</v>
      </c>
    </row>
    <row r="246" spans="1:3">
      <c r="A246" t="s">
        <v>1204</v>
      </c>
      <c r="B246" s="22">
        <v>45158</v>
      </c>
      <c r="C246" s="20">
        <v>4791</v>
      </c>
    </row>
    <row r="247" spans="1:3">
      <c r="A247" t="s">
        <v>1204</v>
      </c>
      <c r="B247" s="21">
        <v>45162</v>
      </c>
      <c r="C247" s="20">
        <v>4390</v>
      </c>
    </row>
    <row r="248" spans="1:3">
      <c r="A248" t="s">
        <v>1196</v>
      </c>
      <c r="B248" s="22">
        <v>45156</v>
      </c>
      <c r="C248" s="20">
        <v>1917</v>
      </c>
    </row>
    <row r="249" spans="1:3">
      <c r="A249" t="s">
        <v>1192</v>
      </c>
      <c r="B249" s="22">
        <v>45162</v>
      </c>
      <c r="C249" s="20">
        <v>4422</v>
      </c>
    </row>
    <row r="250" spans="1:3">
      <c r="A250" t="s">
        <v>1195</v>
      </c>
      <c r="B250" s="22">
        <v>45169</v>
      </c>
      <c r="C250" s="20">
        <v>2560</v>
      </c>
    </row>
    <row r="251" spans="1:3">
      <c r="A251" t="s">
        <v>1198</v>
      </c>
      <c r="B251" s="22">
        <v>45169</v>
      </c>
      <c r="C251" s="20">
        <v>6250</v>
      </c>
    </row>
    <row r="252" spans="1:3">
      <c r="A252" t="s">
        <v>78</v>
      </c>
      <c r="B252" s="22">
        <v>45168</v>
      </c>
      <c r="C252" s="20">
        <v>4754</v>
      </c>
    </row>
    <row r="253" spans="1:3">
      <c r="A253" t="s">
        <v>1200</v>
      </c>
      <c r="B253" s="22">
        <v>45169</v>
      </c>
      <c r="C253" s="20">
        <v>4266</v>
      </c>
    </row>
    <row r="254" spans="1:3">
      <c r="A254" t="s">
        <v>1094</v>
      </c>
      <c r="C254" s="20">
        <v>-875</v>
      </c>
    </row>
    <row r="255" spans="1:3">
      <c r="A255" t="s">
        <v>1199</v>
      </c>
      <c r="C255" s="20">
        <v>2202</v>
      </c>
    </row>
    <row r="256" spans="1:3">
      <c r="A256" t="s">
        <v>83</v>
      </c>
      <c r="B256" s="22">
        <v>45170</v>
      </c>
      <c r="C256" s="20">
        <v>4128.05</v>
      </c>
    </row>
    <row r="257" spans="3:3">
      <c r="C257" s="20">
        <v>-30</v>
      </c>
    </row>
    <row r="258" spans="3:3">
      <c r="C258" s="20">
        <v>-50</v>
      </c>
    </row>
    <row r="259" spans="3:3">
      <c r="C259" s="20">
        <v>-180</v>
      </c>
    </row>
    <row r="260" spans="3:3">
      <c r="C260" s="20">
        <v>-180</v>
      </c>
    </row>
    <row r="261" spans="3:3">
      <c r="C261" s="20">
        <v>-107</v>
      </c>
    </row>
    <row r="262" spans="3:3">
      <c r="C262" s="20">
        <v>-50</v>
      </c>
    </row>
    <row r="279" spans="1:9">
      <c r="A279" t="s">
        <v>1192</v>
      </c>
      <c r="B279">
        <v>-3000</v>
      </c>
      <c r="C279" s="20">
        <v>45237</v>
      </c>
      <c r="E279">
        <v>18000</v>
      </c>
      <c r="H279">
        <f>SUM(B97:B144)</f>
        <v>0</v>
      </c>
      <c r="I279">
        <f>SUM(H279+E279)</f>
        <v>18000</v>
      </c>
    </row>
    <row r="280" spans="1:9">
      <c r="A280" t="s">
        <v>83</v>
      </c>
      <c r="B280">
        <v>-3000</v>
      </c>
      <c r="C280" s="20">
        <v>45237</v>
      </c>
    </row>
    <row r="281" spans="1:9">
      <c r="A281" t="s">
        <v>289</v>
      </c>
      <c r="B281">
        <v>-3000</v>
      </c>
      <c r="C281" s="20">
        <v>45237</v>
      </c>
    </row>
    <row r="282" spans="1:9">
      <c r="A282" t="s">
        <v>1194</v>
      </c>
      <c r="B282">
        <v>-1000</v>
      </c>
      <c r="C282" s="20">
        <v>45237</v>
      </c>
    </row>
    <row r="283" spans="1:9">
      <c r="A283" t="s">
        <v>1152</v>
      </c>
      <c r="B283">
        <v>-70</v>
      </c>
      <c r="C283" s="20">
        <v>45237</v>
      </c>
    </row>
    <row r="284" spans="1:9">
      <c r="A284" t="s">
        <v>258</v>
      </c>
      <c r="B284">
        <v>2181.89</v>
      </c>
      <c r="C284" s="20">
        <v>45240</v>
      </c>
    </row>
    <row r="285" spans="1:9">
      <c r="A285" t="s">
        <v>83</v>
      </c>
      <c r="B285">
        <v>4128.04</v>
      </c>
      <c r="C285" s="20">
        <v>45240</v>
      </c>
    </row>
    <row r="286" spans="1:9">
      <c r="A286" t="s">
        <v>1205</v>
      </c>
      <c r="B286">
        <v>-500</v>
      </c>
      <c r="C286" s="20">
        <v>45238</v>
      </c>
    </row>
    <row r="287" spans="1:9">
      <c r="A287" t="s">
        <v>1194</v>
      </c>
      <c r="B287">
        <v>4631</v>
      </c>
      <c r="C287" s="20">
        <v>45244</v>
      </c>
    </row>
    <row r="288" spans="1:9">
      <c r="A288" t="s">
        <v>258</v>
      </c>
      <c r="B288">
        <v>-1400</v>
      </c>
      <c r="C288" s="20">
        <v>45246</v>
      </c>
    </row>
    <row r="289" spans="1:3">
      <c r="A289" t="s">
        <v>1152</v>
      </c>
      <c r="B289">
        <v>-35</v>
      </c>
      <c r="C289" s="20">
        <v>45246</v>
      </c>
    </row>
    <row r="290" spans="1:3">
      <c r="A290" t="s">
        <v>1206</v>
      </c>
      <c r="B290">
        <v>-10</v>
      </c>
      <c r="C290" s="20">
        <v>45247</v>
      </c>
    </row>
    <row r="291" spans="1:3">
      <c r="A291" t="s">
        <v>1207</v>
      </c>
      <c r="B291">
        <v>-50</v>
      </c>
      <c r="C291" s="20">
        <v>45240</v>
      </c>
    </row>
    <row r="292" spans="1:3">
      <c r="A292" t="s">
        <v>1208</v>
      </c>
      <c r="B292">
        <v>-100</v>
      </c>
      <c r="C292" s="20">
        <v>45247</v>
      </c>
    </row>
    <row r="293" spans="1:3">
      <c r="A293" t="s">
        <v>59</v>
      </c>
      <c r="B293">
        <v>-650</v>
      </c>
      <c r="C293" s="20">
        <v>45247</v>
      </c>
    </row>
    <row r="294" spans="1:3">
      <c r="A294" t="s">
        <v>1152</v>
      </c>
      <c r="B294">
        <v>-50</v>
      </c>
      <c r="C294" s="20">
        <v>45247</v>
      </c>
    </row>
    <row r="295" spans="1:3">
      <c r="A295" t="s">
        <v>55</v>
      </c>
      <c r="B295">
        <v>-200</v>
      </c>
      <c r="C295" s="20">
        <v>45250</v>
      </c>
    </row>
    <row r="296" spans="1:3">
      <c r="A296" t="s">
        <v>1192</v>
      </c>
      <c r="B296">
        <v>4422.6099999999997</v>
      </c>
      <c r="C296" s="20">
        <v>45246</v>
      </c>
    </row>
    <row r="297" spans="1:3">
      <c r="A297" t="s">
        <v>258</v>
      </c>
      <c r="B297">
        <v>2181.91</v>
      </c>
      <c r="C297" s="20">
        <v>45247</v>
      </c>
    </row>
    <row r="298" spans="1:3">
      <c r="A298" t="s">
        <v>1209</v>
      </c>
      <c r="B298">
        <v>4791.42</v>
      </c>
      <c r="C298" s="20">
        <v>45246</v>
      </c>
    </row>
    <row r="299" spans="1:3">
      <c r="A299" t="s">
        <v>1200</v>
      </c>
      <c r="B299">
        <v>4565.26</v>
      </c>
      <c r="C299" s="20">
        <v>45245</v>
      </c>
    </row>
    <row r="300" spans="1:3">
      <c r="A300" t="s">
        <v>83</v>
      </c>
      <c r="B300">
        <v>4128.05</v>
      </c>
      <c r="C300" s="20">
        <v>45254</v>
      </c>
    </row>
    <row r="301" spans="1:3">
      <c r="A301" t="s">
        <v>83</v>
      </c>
      <c r="B301">
        <v>823.8</v>
      </c>
      <c r="C301" s="20">
        <v>45254</v>
      </c>
    </row>
    <row r="302" spans="1:3">
      <c r="A302" t="s">
        <v>258</v>
      </c>
      <c r="B302">
        <v>2181.89</v>
      </c>
      <c r="C302" s="20">
        <v>45254</v>
      </c>
    </row>
    <row r="303" spans="1:3">
      <c r="A303" t="s">
        <v>1192</v>
      </c>
      <c r="B303">
        <v>4422.6099999999997</v>
      </c>
      <c r="C303" s="20">
        <v>45260</v>
      </c>
    </row>
    <row r="304" spans="1:3">
      <c r="A304" t="s">
        <v>1210</v>
      </c>
      <c r="B304">
        <v>-1200</v>
      </c>
      <c r="C304" s="20">
        <v>45255</v>
      </c>
    </row>
    <row r="305" spans="1:3">
      <c r="A305" t="s">
        <v>1194</v>
      </c>
      <c r="B305">
        <v>4000</v>
      </c>
      <c r="C305" s="20">
        <v>45259</v>
      </c>
    </row>
    <row r="306" spans="1:3">
      <c r="A306" t="s">
        <v>55</v>
      </c>
      <c r="B306">
        <v>828.16</v>
      </c>
      <c r="C306" s="20">
        <v>45254</v>
      </c>
    </row>
    <row r="307" spans="1:3">
      <c r="A307" t="s">
        <v>258</v>
      </c>
      <c r="B307">
        <v>1743</v>
      </c>
      <c r="C307" s="20">
        <v>45261</v>
      </c>
    </row>
    <row r="308" spans="1:3">
      <c r="A308" t="s">
        <v>1200</v>
      </c>
      <c r="B308">
        <v>4565.25</v>
      </c>
      <c r="C308" s="20">
        <v>45260</v>
      </c>
    </row>
    <row r="309" spans="1:3">
      <c r="A309" t="s">
        <v>1194</v>
      </c>
      <c r="B309">
        <v>3821</v>
      </c>
      <c r="C309" s="20">
        <v>45260</v>
      </c>
    </row>
    <row r="310" spans="1:3">
      <c r="A310" t="s">
        <v>258</v>
      </c>
      <c r="B310">
        <v>-1428</v>
      </c>
      <c r="C310" s="20">
        <v>45264</v>
      </c>
    </row>
    <row r="311" spans="1:3">
      <c r="A311" t="s">
        <v>1094</v>
      </c>
      <c r="B311">
        <v>-200</v>
      </c>
      <c r="C311" s="20">
        <v>45250</v>
      </c>
    </row>
    <row r="312" spans="1:3">
      <c r="A312" t="s">
        <v>1211</v>
      </c>
      <c r="B312">
        <v>-370</v>
      </c>
      <c r="C312" s="20">
        <v>45251</v>
      </c>
    </row>
    <row r="313" spans="1:3">
      <c r="A313" t="s">
        <v>1212</v>
      </c>
      <c r="B313">
        <v>54</v>
      </c>
      <c r="C313" s="20">
        <v>45260</v>
      </c>
    </row>
    <row r="314" spans="1:3">
      <c r="A314" t="s">
        <v>1152</v>
      </c>
      <c r="B314">
        <v>-35</v>
      </c>
      <c r="C314" s="20">
        <v>45260</v>
      </c>
    </row>
    <row r="315" spans="1:3">
      <c r="A315" t="s">
        <v>1213</v>
      </c>
      <c r="B315">
        <v>-650</v>
      </c>
      <c r="C315" s="20">
        <v>45257</v>
      </c>
    </row>
    <row r="316" spans="1:3">
      <c r="A316" t="s">
        <v>1214</v>
      </c>
      <c r="B316">
        <v>-115</v>
      </c>
      <c r="C316" s="20">
        <v>45244</v>
      </c>
    </row>
    <row r="321" spans="1:9">
      <c r="A321" s="8">
        <v>45334</v>
      </c>
      <c r="B321" t="s">
        <v>1151</v>
      </c>
      <c r="C321" s="20">
        <v>-1000</v>
      </c>
      <c r="D321" s="10" t="s">
        <v>1215</v>
      </c>
      <c r="H321" s="20"/>
      <c r="I321" s="20"/>
    </row>
    <row r="322" spans="1:9">
      <c r="A322" s="8">
        <v>45336</v>
      </c>
      <c r="B322" t="s">
        <v>943</v>
      </c>
      <c r="C322" s="20">
        <v>-78.53</v>
      </c>
      <c r="H322" s="20"/>
      <c r="I322" s="20"/>
    </row>
    <row r="323" spans="1:9">
      <c r="A323" s="8">
        <v>45336</v>
      </c>
      <c r="B323" t="s">
        <v>1216</v>
      </c>
      <c r="C323" s="20">
        <v>-630</v>
      </c>
    </row>
    <row r="324" spans="1:9">
      <c r="A324" s="8">
        <v>45336</v>
      </c>
      <c r="B324" t="s">
        <v>1156</v>
      </c>
      <c r="C324">
        <v>-2500</v>
      </c>
    </row>
    <row r="325" spans="1:9">
      <c r="A325" s="8">
        <v>45337</v>
      </c>
      <c r="B325" t="s">
        <v>1217</v>
      </c>
      <c r="C325" s="20">
        <v>1050.68</v>
      </c>
    </row>
    <row r="326" spans="1:9">
      <c r="A326" s="8">
        <v>45338</v>
      </c>
      <c r="B326" t="s">
        <v>289</v>
      </c>
      <c r="C326" s="20">
        <v>4761.79</v>
      </c>
    </row>
    <row r="327" spans="1:9">
      <c r="A327" s="8">
        <v>45338</v>
      </c>
      <c r="B327" t="s">
        <v>55</v>
      </c>
      <c r="C327">
        <v>4293.47</v>
      </c>
    </row>
    <row r="328" spans="1:9">
      <c r="A328" s="8">
        <v>45337</v>
      </c>
      <c r="B328" t="s">
        <v>59</v>
      </c>
      <c r="C328" s="20">
        <v>4600</v>
      </c>
      <c r="D328" t="s">
        <v>68</v>
      </c>
    </row>
    <row r="329" spans="1:9">
      <c r="A329" s="8">
        <v>45344</v>
      </c>
      <c r="B329" t="s">
        <v>1217</v>
      </c>
      <c r="C329" s="20">
        <v>2622</v>
      </c>
    </row>
    <row r="330" spans="1:9">
      <c r="A330" s="8">
        <v>45350</v>
      </c>
      <c r="B330" t="s">
        <v>1160</v>
      </c>
      <c r="C330" s="20">
        <v>1901.67</v>
      </c>
    </row>
    <row r="331" spans="1:9">
      <c r="A331" s="8">
        <v>44981</v>
      </c>
      <c r="B331" t="s">
        <v>39</v>
      </c>
      <c r="C331" s="20">
        <v>-3000</v>
      </c>
    </row>
    <row r="332" spans="1:9">
      <c r="A332" s="8">
        <v>45351</v>
      </c>
      <c r="B332" t="s">
        <v>1217</v>
      </c>
      <c r="C332" s="20">
        <v>2622</v>
      </c>
    </row>
    <row r="333" spans="1:9">
      <c r="A333" s="8">
        <v>45351</v>
      </c>
      <c r="B333" t="s">
        <v>289</v>
      </c>
      <c r="C333" s="20">
        <v>4761.8</v>
      </c>
    </row>
    <row r="334" spans="1:9">
      <c r="A334" s="8">
        <v>45352</v>
      </c>
      <c r="B334" t="s">
        <v>1218</v>
      </c>
      <c r="C334" s="20">
        <v>6177.6</v>
      </c>
    </row>
    <row r="335" spans="1:9">
      <c r="A335" s="8">
        <v>45352</v>
      </c>
      <c r="B335" t="s">
        <v>55</v>
      </c>
      <c r="C335" s="20">
        <v>4293</v>
      </c>
    </row>
    <row r="336" spans="1:9">
      <c r="A336" s="8">
        <v>45352</v>
      </c>
      <c r="B336" t="s">
        <v>59</v>
      </c>
      <c r="C336" s="20">
        <v>4600</v>
      </c>
    </row>
    <row r="337" spans="1:3">
      <c r="A337" s="8">
        <v>45359</v>
      </c>
      <c r="B337" t="s">
        <v>1219</v>
      </c>
      <c r="C337" s="20">
        <v>4754</v>
      </c>
    </row>
    <row r="338" spans="1:3">
      <c r="A338" s="8">
        <v>45352</v>
      </c>
      <c r="B338" t="s">
        <v>1143</v>
      </c>
    </row>
    <row r="339" spans="1:3">
      <c r="A339" s="8">
        <v>45352</v>
      </c>
      <c r="B339" t="s">
        <v>1220</v>
      </c>
      <c r="C339" s="20">
        <v>-662</v>
      </c>
    </row>
    <row r="340" spans="1:3">
      <c r="A340" s="8">
        <v>45352</v>
      </c>
      <c r="B340" t="s">
        <v>1221</v>
      </c>
      <c r="C340" s="20">
        <v>-50</v>
      </c>
    </row>
    <row r="341" spans="1:3">
      <c r="A341" s="8">
        <v>45352</v>
      </c>
      <c r="B341" t="s">
        <v>39</v>
      </c>
      <c r="C341" s="20">
        <v>-13000</v>
      </c>
    </row>
    <row r="342" spans="1:3">
      <c r="A342" s="8">
        <v>45354</v>
      </c>
      <c r="B342" t="s">
        <v>1142</v>
      </c>
      <c r="C342" s="20">
        <v>1905</v>
      </c>
    </row>
    <row r="343" spans="1:3">
      <c r="A343" s="8">
        <v>45359</v>
      </c>
      <c r="B343" t="s">
        <v>1142</v>
      </c>
      <c r="C343" s="20">
        <v>2366.75</v>
      </c>
    </row>
    <row r="344" spans="1:3">
      <c r="A344" s="8">
        <v>45358</v>
      </c>
      <c r="B344" t="s">
        <v>1217</v>
      </c>
      <c r="C344" s="20">
        <v>2622</v>
      </c>
    </row>
    <row r="345" spans="1:3">
      <c r="A345" s="8">
        <v>45352</v>
      </c>
      <c r="B345" t="s">
        <v>66</v>
      </c>
      <c r="C345" s="20">
        <v>1300</v>
      </c>
    </row>
    <row r="346" spans="1:3">
      <c r="C346" s="20">
        <v>-8456</v>
      </c>
    </row>
    <row r="347" spans="1:3">
      <c r="C347" s="20">
        <v>10920</v>
      </c>
    </row>
    <row r="348" spans="1:3">
      <c r="C348" s="20">
        <v>-2500</v>
      </c>
    </row>
    <row r="353" spans="1:2">
      <c r="A353" s="8">
        <v>45393</v>
      </c>
      <c r="B353">
        <v>11423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32"/>
  <sheetViews>
    <sheetView workbookViewId="0">
      <selection activeCell="G14" sqref="G14"/>
    </sheetView>
  </sheetViews>
  <sheetFormatPr defaultColWidth="9.140625" defaultRowHeight="15"/>
  <cols>
    <col min="15" max="15" width="12.85546875"/>
    <col min="27" max="29" width="12.85546875"/>
  </cols>
  <sheetData>
    <row r="1" spans="1:28">
      <c r="A1" s="19" t="s">
        <v>1222</v>
      </c>
      <c r="B1" t="s">
        <v>110</v>
      </c>
      <c r="C1" t="s">
        <v>6</v>
      </c>
    </row>
    <row r="2" spans="1:28">
      <c r="A2" t="s">
        <v>211</v>
      </c>
      <c r="B2" t="s">
        <v>123</v>
      </c>
      <c r="C2" t="s">
        <v>591</v>
      </c>
    </row>
    <row r="3" spans="1:28">
      <c r="B3" t="s">
        <v>200</v>
      </c>
      <c r="C3" t="s">
        <v>1223</v>
      </c>
    </row>
    <row r="4" spans="1:28">
      <c r="B4" t="s">
        <v>334</v>
      </c>
      <c r="C4" t="s">
        <v>1224</v>
      </c>
    </row>
    <row r="5" spans="1:28">
      <c r="B5" t="s">
        <v>129</v>
      </c>
    </row>
    <row r="6" spans="1:28">
      <c r="B6" t="s">
        <v>459</v>
      </c>
    </row>
    <row r="7" spans="1:28">
      <c r="B7" t="s">
        <v>893</v>
      </c>
      <c r="Z7">
        <v>4</v>
      </c>
    </row>
    <row r="8" spans="1:28">
      <c r="A8" t="s">
        <v>185</v>
      </c>
      <c r="B8" t="s">
        <v>123</v>
      </c>
      <c r="C8" t="s">
        <v>559</v>
      </c>
      <c r="D8" t="s">
        <v>166</v>
      </c>
      <c r="Z8">
        <v>137</v>
      </c>
    </row>
    <row r="9" spans="1:28">
      <c r="B9" t="s">
        <v>200</v>
      </c>
      <c r="C9" t="s">
        <v>217</v>
      </c>
      <c r="Z9">
        <v>30</v>
      </c>
    </row>
    <row r="10" spans="1:28">
      <c r="B10" t="s">
        <v>334</v>
      </c>
      <c r="Z10">
        <v>48</v>
      </c>
    </row>
    <row r="11" spans="1:28">
      <c r="B11" t="s">
        <v>129</v>
      </c>
      <c r="Z11">
        <v>27</v>
      </c>
    </row>
    <row r="12" spans="1:28">
      <c r="B12" t="s">
        <v>459</v>
      </c>
      <c r="Z12">
        <v>133</v>
      </c>
      <c r="AB12">
        <v>4</v>
      </c>
    </row>
    <row r="13" spans="1:28">
      <c r="B13" t="s">
        <v>893</v>
      </c>
      <c r="Z13">
        <v>129</v>
      </c>
      <c r="AB13">
        <v>125</v>
      </c>
    </row>
    <row r="14" spans="1:28">
      <c r="A14" t="s">
        <v>424</v>
      </c>
      <c r="B14" t="s">
        <v>123</v>
      </c>
      <c r="C14" t="s">
        <v>203</v>
      </c>
      <c r="Z14">
        <v>202</v>
      </c>
      <c r="AB14">
        <v>228</v>
      </c>
    </row>
    <row r="15" spans="1:28">
      <c r="B15" t="s">
        <v>200</v>
      </c>
      <c r="C15" t="s">
        <v>518</v>
      </c>
      <c r="Z15">
        <v>32</v>
      </c>
      <c r="AB15">
        <v>139</v>
      </c>
    </row>
    <row r="16" spans="1:28">
      <c r="B16" t="s">
        <v>334</v>
      </c>
      <c r="C16" t="s">
        <v>394</v>
      </c>
      <c r="Z16">
        <v>139</v>
      </c>
      <c r="AB16">
        <v>241</v>
      </c>
    </row>
    <row r="17" spans="1:30">
      <c r="B17" t="s">
        <v>129</v>
      </c>
      <c r="Z17">
        <v>241</v>
      </c>
      <c r="AB17">
        <v>38</v>
      </c>
    </row>
    <row r="18" spans="1:30">
      <c r="B18" t="s">
        <v>459</v>
      </c>
      <c r="Z18">
        <v>38</v>
      </c>
      <c r="AB18">
        <v>150</v>
      </c>
    </row>
    <row r="19" spans="1:30">
      <c r="B19" t="s">
        <v>893</v>
      </c>
      <c r="Z19">
        <v>150</v>
      </c>
      <c r="AB19">
        <f>SUM(AB10:AB18)</f>
        <v>925</v>
      </c>
      <c r="AC19">
        <v>33</v>
      </c>
    </row>
    <row r="20" spans="1:30">
      <c r="A20" t="s">
        <v>1225</v>
      </c>
      <c r="B20" t="s">
        <v>123</v>
      </c>
      <c r="C20" t="s">
        <v>122</v>
      </c>
      <c r="D20" t="s">
        <v>1226</v>
      </c>
      <c r="AA20">
        <f>SUM(Z7:Z19)</f>
        <v>1310</v>
      </c>
      <c r="AC20">
        <v>956</v>
      </c>
      <c r="AD20">
        <v>230</v>
      </c>
    </row>
    <row r="21" spans="1:30">
      <c r="B21" t="s">
        <v>200</v>
      </c>
      <c r="C21" t="s">
        <v>43</v>
      </c>
      <c r="AD21">
        <v>1186</v>
      </c>
    </row>
    <row r="22" spans="1:30">
      <c r="B22" t="s">
        <v>129</v>
      </c>
      <c r="Z22">
        <v>1000</v>
      </c>
      <c r="AA22">
        <v>300</v>
      </c>
      <c r="AB22">
        <v>33000</v>
      </c>
      <c r="AD22">
        <v>1</v>
      </c>
    </row>
    <row r="23" spans="1:30">
      <c r="B23" t="s">
        <v>893</v>
      </c>
      <c r="AA23">
        <f>300/7.25</f>
        <v>41.379310344827601</v>
      </c>
      <c r="AB23">
        <f>33000/122</f>
        <v>270.49180327868902</v>
      </c>
    </row>
    <row r="24" spans="1:30">
      <c r="B24" t="s">
        <v>334</v>
      </c>
      <c r="C24" t="s">
        <v>1224</v>
      </c>
      <c r="AA24">
        <v>1311</v>
      </c>
    </row>
    <row r="25" spans="1:30">
      <c r="A25" t="s">
        <v>147</v>
      </c>
      <c r="B25" t="s">
        <v>123</v>
      </c>
    </row>
    <row r="26" spans="1:30">
      <c r="B26" t="s">
        <v>200</v>
      </c>
    </row>
    <row r="27" spans="1:30">
      <c r="B27" t="s">
        <v>334</v>
      </c>
      <c r="C27" t="s">
        <v>394</v>
      </c>
      <c r="AB27">
        <v>400</v>
      </c>
    </row>
    <row r="28" spans="1:30">
      <c r="B28" t="s">
        <v>129</v>
      </c>
    </row>
    <row r="29" spans="1:30">
      <c r="AB29">
        <v>12700</v>
      </c>
    </row>
    <row r="30" spans="1:30">
      <c r="AB30">
        <v>250</v>
      </c>
      <c r="AC30">
        <f>250/7.25</f>
        <v>34.482758620689701</v>
      </c>
    </row>
    <row r="31" spans="1:30">
      <c r="AB31" t="s">
        <v>1227</v>
      </c>
      <c r="AC31" t="s">
        <v>1228</v>
      </c>
    </row>
    <row r="32" spans="1:30">
      <c r="AC32" t="s">
        <v>1229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37"/>
  <sheetViews>
    <sheetView tabSelected="1" topLeftCell="A10" workbookViewId="0">
      <selection activeCell="B45" sqref="B45"/>
    </sheetView>
  </sheetViews>
  <sheetFormatPr defaultColWidth="9.140625" defaultRowHeight="15"/>
  <cols>
    <col min="2" max="2" width="21.140625"/>
    <col min="3" max="3" width="29.85546875" bestFit="1" customWidth="1"/>
    <col min="4" max="4" width="30.28515625" bestFit="1" customWidth="1"/>
    <col min="5" max="5" width="14.85546875" style="10" customWidth="1"/>
    <col min="11" max="11" width="17.28515625" customWidth="1"/>
  </cols>
  <sheetData>
    <row r="1" spans="1:17">
      <c r="A1" t="s">
        <v>941</v>
      </c>
      <c r="B1" t="s">
        <v>108</v>
      </c>
      <c r="C1" t="s">
        <v>110</v>
      </c>
      <c r="D1" t="s">
        <v>1230</v>
      </c>
      <c r="E1" s="10" t="s">
        <v>1231</v>
      </c>
      <c r="F1" t="s">
        <v>948</v>
      </c>
      <c r="G1" t="s">
        <v>123</v>
      </c>
      <c r="H1" t="s">
        <v>200</v>
      </c>
      <c r="I1" t="s">
        <v>334</v>
      </c>
      <c r="J1" t="s">
        <v>950</v>
      </c>
      <c r="K1" t="s">
        <v>1232</v>
      </c>
      <c r="L1" t="s">
        <v>1233</v>
      </c>
      <c r="M1" t="s">
        <v>1234</v>
      </c>
      <c r="N1" t="s">
        <v>1235</v>
      </c>
      <c r="O1" t="s">
        <v>643</v>
      </c>
      <c r="P1" t="s">
        <v>129</v>
      </c>
      <c r="Q1" t="s">
        <v>114</v>
      </c>
    </row>
    <row r="2" spans="1:17">
      <c r="A2" t="s">
        <v>953</v>
      </c>
      <c r="B2" t="s">
        <v>1236</v>
      </c>
      <c r="C2" t="s">
        <v>1237</v>
      </c>
      <c r="D2" t="s">
        <v>1238</v>
      </c>
      <c r="E2" s="10" t="s">
        <v>1238</v>
      </c>
      <c r="F2">
        <v>4.3</v>
      </c>
      <c r="G2">
        <v>4.2</v>
      </c>
      <c r="I2">
        <v>1</v>
      </c>
      <c r="J2">
        <v>1</v>
      </c>
      <c r="K2" t="s">
        <v>1239</v>
      </c>
      <c r="L2">
        <v>4.5</v>
      </c>
    </row>
    <row r="3" spans="1:17">
      <c r="A3" t="s">
        <v>953</v>
      </c>
      <c r="B3" t="s">
        <v>1240</v>
      </c>
      <c r="C3" t="s">
        <v>1241</v>
      </c>
      <c r="D3" s="88" t="s">
        <v>1242</v>
      </c>
      <c r="E3" s="10" t="s">
        <v>1243</v>
      </c>
      <c r="F3">
        <v>4.2</v>
      </c>
      <c r="H3">
        <v>4.4000000000000004</v>
      </c>
    </row>
    <row r="4" spans="1:17">
      <c r="A4" t="s">
        <v>953</v>
      </c>
      <c r="B4" t="s">
        <v>1244</v>
      </c>
      <c r="C4" t="s">
        <v>525</v>
      </c>
      <c r="D4" t="s">
        <v>1245</v>
      </c>
      <c r="E4" s="10" t="s">
        <v>1246</v>
      </c>
      <c r="F4">
        <v>4</v>
      </c>
      <c r="G4">
        <v>4.3</v>
      </c>
      <c r="J4">
        <v>3.5</v>
      </c>
    </row>
    <row r="5" spans="1:17">
      <c r="A5" t="s">
        <v>953</v>
      </c>
      <c r="B5" t="s">
        <v>875</v>
      </c>
      <c r="C5" t="s">
        <v>1241</v>
      </c>
      <c r="D5" s="89" t="s">
        <v>1247</v>
      </c>
      <c r="E5" s="10" t="s">
        <v>1243</v>
      </c>
      <c r="F5">
        <v>4.3</v>
      </c>
      <c r="H5">
        <v>4.4000000000000004</v>
      </c>
    </row>
    <row r="6" spans="1:17">
      <c r="A6" t="s">
        <v>953</v>
      </c>
      <c r="B6" t="s">
        <v>1248</v>
      </c>
      <c r="C6" t="s">
        <v>1249</v>
      </c>
      <c r="F6">
        <v>4</v>
      </c>
      <c r="I6">
        <v>4.3</v>
      </c>
      <c r="O6">
        <v>4</v>
      </c>
    </row>
    <row r="7" spans="1:17">
      <c r="A7" t="s">
        <v>953</v>
      </c>
      <c r="B7" t="s">
        <v>1250</v>
      </c>
      <c r="C7" t="s">
        <v>1251</v>
      </c>
      <c r="D7" s="11" t="s">
        <v>1252</v>
      </c>
      <c r="E7" s="10" t="s">
        <v>1253</v>
      </c>
      <c r="F7">
        <v>4.0999999999999996</v>
      </c>
      <c r="I7">
        <v>4.3</v>
      </c>
      <c r="O7">
        <v>4.2</v>
      </c>
    </row>
    <row r="8" spans="1:17">
      <c r="A8" t="s">
        <v>953</v>
      </c>
      <c r="B8" t="s">
        <v>1254</v>
      </c>
      <c r="C8" t="s">
        <v>1255</v>
      </c>
      <c r="F8">
        <v>4.4000000000000004</v>
      </c>
      <c r="I8">
        <v>4.4000000000000004</v>
      </c>
      <c r="J8">
        <v>4.3</v>
      </c>
      <c r="O8">
        <v>4.3</v>
      </c>
      <c r="P8">
        <v>4</v>
      </c>
    </row>
    <row r="10" spans="1:17">
      <c r="A10" t="s">
        <v>953</v>
      </c>
      <c r="B10" t="s">
        <v>1256</v>
      </c>
      <c r="C10" t="s">
        <v>1257</v>
      </c>
      <c r="D10" s="88" t="s">
        <v>1258</v>
      </c>
      <c r="E10" s="10" t="s">
        <v>1243</v>
      </c>
      <c r="F10">
        <v>4</v>
      </c>
      <c r="G10" s="11" t="s">
        <v>1259</v>
      </c>
      <c r="H10">
        <v>4.4400000000000004</v>
      </c>
    </row>
    <row r="11" spans="1:17">
      <c r="A11" t="s">
        <v>953</v>
      </c>
      <c r="B11" t="s">
        <v>1260</v>
      </c>
      <c r="C11" t="s">
        <v>587</v>
      </c>
      <c r="D11" s="12" t="s">
        <v>1261</v>
      </c>
      <c r="E11" s="10" t="s">
        <v>1262</v>
      </c>
      <c r="F11">
        <v>4.0999999999999996</v>
      </c>
      <c r="O11">
        <v>4.5</v>
      </c>
    </row>
    <row r="12" spans="1:17">
      <c r="A12" t="s">
        <v>953</v>
      </c>
      <c r="B12" t="s">
        <v>1263</v>
      </c>
      <c r="C12" t="s">
        <v>1264</v>
      </c>
      <c r="D12" s="88" t="s">
        <v>1265</v>
      </c>
      <c r="E12" s="10" t="s">
        <v>1243</v>
      </c>
      <c r="F12">
        <v>4.2</v>
      </c>
      <c r="H12">
        <v>4.4000000000000004</v>
      </c>
      <c r="K12">
        <v>4.5</v>
      </c>
      <c r="N12">
        <v>4.5</v>
      </c>
    </row>
    <row r="13" spans="1:17">
      <c r="A13" t="s">
        <v>953</v>
      </c>
      <c r="B13" t="s">
        <v>1266</v>
      </c>
      <c r="C13" t="s">
        <v>1267</v>
      </c>
      <c r="D13" s="13" t="s">
        <v>1268</v>
      </c>
      <c r="E13" s="14" t="s">
        <v>1269</v>
      </c>
      <c r="F13">
        <v>4.0999999999999996</v>
      </c>
      <c r="G13">
        <v>4.3</v>
      </c>
      <c r="I13" t="s">
        <v>1238</v>
      </c>
      <c r="J13" t="s">
        <v>1246</v>
      </c>
      <c r="K13" t="s">
        <v>1270</v>
      </c>
      <c r="L13" t="s">
        <v>1271</v>
      </c>
    </row>
    <row r="14" spans="1:17">
      <c r="A14" t="s">
        <v>953</v>
      </c>
      <c r="B14" t="s">
        <v>1272</v>
      </c>
      <c r="C14" t="s">
        <v>1273</v>
      </c>
      <c r="D14" t="s">
        <v>1274</v>
      </c>
      <c r="F14">
        <v>4.4000000000000004</v>
      </c>
      <c r="G14">
        <v>4.3</v>
      </c>
      <c r="K14" t="s">
        <v>1275</v>
      </c>
    </row>
    <row r="15" spans="1:17">
      <c r="A15" t="s">
        <v>953</v>
      </c>
      <c r="B15" t="s">
        <v>1276</v>
      </c>
      <c r="C15" t="s">
        <v>123</v>
      </c>
      <c r="D15" s="88" t="s">
        <v>1277</v>
      </c>
      <c r="E15" s="10" t="s">
        <v>1243</v>
      </c>
      <c r="F15">
        <v>4.2</v>
      </c>
    </row>
    <row r="16" spans="1:17">
      <c r="A16" t="s">
        <v>953</v>
      </c>
      <c r="B16" t="s">
        <v>1278</v>
      </c>
      <c r="C16" t="s">
        <v>123</v>
      </c>
      <c r="D16" s="11" t="s">
        <v>1279</v>
      </c>
      <c r="E16" s="10" t="s">
        <v>1243</v>
      </c>
      <c r="F16">
        <v>4.3</v>
      </c>
      <c r="G16">
        <v>4.3</v>
      </c>
      <c r="J16">
        <v>3</v>
      </c>
      <c r="K16" t="s">
        <v>1270</v>
      </c>
      <c r="N16">
        <v>4.2</v>
      </c>
    </row>
    <row r="17" spans="1:15" s="94" customFormat="1">
      <c r="A17" s="94" t="s">
        <v>953</v>
      </c>
      <c r="B17" s="94" t="s">
        <v>1280</v>
      </c>
      <c r="C17" s="94" t="s">
        <v>123</v>
      </c>
      <c r="D17" s="94" t="s">
        <v>1281</v>
      </c>
      <c r="E17" s="95" t="s">
        <v>1243</v>
      </c>
      <c r="F17" s="94">
        <v>4.4000000000000004</v>
      </c>
      <c r="G17" s="94">
        <v>4.3</v>
      </c>
      <c r="J17" s="94">
        <v>3.5</v>
      </c>
      <c r="K17" s="94" t="s">
        <v>1270</v>
      </c>
      <c r="L17" s="94" t="s">
        <v>1271</v>
      </c>
      <c r="M17" s="94">
        <v>4.3</v>
      </c>
      <c r="N17" s="94">
        <v>4.3</v>
      </c>
    </row>
    <row r="19" spans="1:15">
      <c r="D19" t="s">
        <v>990</v>
      </c>
    </row>
    <row r="20" spans="1:15">
      <c r="A20" t="s">
        <v>953</v>
      </c>
      <c r="B20" t="s">
        <v>988</v>
      </c>
      <c r="C20" t="s">
        <v>1282</v>
      </c>
      <c r="D20" t="s">
        <v>990</v>
      </c>
      <c r="E20" s="10" t="s">
        <v>1243</v>
      </c>
      <c r="F20">
        <v>4.4000000000000004</v>
      </c>
      <c r="I20">
        <v>4.2</v>
      </c>
      <c r="O20">
        <v>4.4000000000000004</v>
      </c>
    </row>
    <row r="21" spans="1:15">
      <c r="A21" t="s">
        <v>953</v>
      </c>
      <c r="B21" t="s">
        <v>1283</v>
      </c>
      <c r="C21" t="s">
        <v>1284</v>
      </c>
      <c r="F21">
        <v>4.4000000000000004</v>
      </c>
    </row>
    <row r="22" spans="1:15">
      <c r="A22" t="s">
        <v>953</v>
      </c>
      <c r="B22" t="s">
        <v>1285</v>
      </c>
      <c r="C22" t="s">
        <v>1286</v>
      </c>
      <c r="D22" s="10" t="s">
        <v>1287</v>
      </c>
      <c r="F22">
        <v>4.3</v>
      </c>
      <c r="G22">
        <v>4</v>
      </c>
      <c r="H22">
        <v>4</v>
      </c>
      <c r="K22">
        <v>4</v>
      </c>
    </row>
    <row r="23" spans="1:15">
      <c r="A23" t="s">
        <v>953</v>
      </c>
      <c r="B23" t="s">
        <v>1288</v>
      </c>
      <c r="F23">
        <v>4</v>
      </c>
    </row>
    <row r="26" spans="1:15" s="9" customFormat="1">
      <c r="A26" s="9" t="s">
        <v>953</v>
      </c>
      <c r="B26" s="9" t="s">
        <v>1289</v>
      </c>
      <c r="C26" s="9" t="s">
        <v>123</v>
      </c>
      <c r="D26" s="9">
        <f>+E9217</f>
        <v>0</v>
      </c>
      <c r="E26" s="15" t="s">
        <v>1243</v>
      </c>
      <c r="F26" s="9">
        <v>4.2</v>
      </c>
      <c r="G26" s="9">
        <v>4.4000000000000004</v>
      </c>
    </row>
    <row r="27" spans="1:15">
      <c r="A27" t="s">
        <v>953</v>
      </c>
      <c r="B27" t="s">
        <v>896</v>
      </c>
      <c r="C27" t="s">
        <v>200</v>
      </c>
      <c r="E27" s="10" t="s">
        <v>1246</v>
      </c>
      <c r="F27">
        <v>4.4000000000000004</v>
      </c>
      <c r="I27">
        <v>4</v>
      </c>
    </row>
    <row r="28" spans="1:15" s="9" customFormat="1">
      <c r="A28" s="9" t="s">
        <v>953</v>
      </c>
      <c r="B28" s="9" t="s">
        <v>1290</v>
      </c>
      <c r="C28" s="9" t="s">
        <v>459</v>
      </c>
      <c r="D28" s="9" t="s">
        <v>1291</v>
      </c>
      <c r="E28" s="15" t="s">
        <v>1243</v>
      </c>
      <c r="F28" s="9">
        <v>4.2</v>
      </c>
    </row>
    <row r="29" spans="1:15" s="9" customFormat="1">
      <c r="A29" s="9" t="s">
        <v>953</v>
      </c>
      <c r="B29" s="9" t="s">
        <v>1292</v>
      </c>
      <c r="C29" s="9" t="s">
        <v>525</v>
      </c>
      <c r="E29" s="15" t="s">
        <v>1243</v>
      </c>
      <c r="F29" s="9">
        <v>4.2</v>
      </c>
      <c r="G29" s="9">
        <v>4.4000000000000004</v>
      </c>
      <c r="J29" s="9">
        <v>4.3</v>
      </c>
      <c r="K29" s="9" t="s">
        <v>951</v>
      </c>
    </row>
    <row r="30" spans="1:15" s="96" customFormat="1">
      <c r="A30" s="96" t="s">
        <v>953</v>
      </c>
      <c r="B30" s="96" t="s">
        <v>1293</v>
      </c>
      <c r="C30" s="96" t="s">
        <v>1294</v>
      </c>
      <c r="E30" s="97" t="s">
        <v>1246</v>
      </c>
      <c r="F30" s="96">
        <v>4.0999999999999996</v>
      </c>
    </row>
    <row r="31" spans="1:15">
      <c r="A31" t="s">
        <v>953</v>
      </c>
      <c r="B31" t="s">
        <v>1295</v>
      </c>
      <c r="C31" t="s">
        <v>1296</v>
      </c>
      <c r="E31" s="10" t="s">
        <v>1243</v>
      </c>
      <c r="F31">
        <v>4.2</v>
      </c>
    </row>
    <row r="32" spans="1:15">
      <c r="A32" t="s">
        <v>953</v>
      </c>
      <c r="B32" t="s">
        <v>1297</v>
      </c>
      <c r="C32" t="s">
        <v>1298</v>
      </c>
      <c r="F32">
        <v>4.0999999999999996</v>
      </c>
      <c r="G32">
        <v>4.5</v>
      </c>
    </row>
    <row r="33" spans="1:8">
      <c r="A33" t="s">
        <v>953</v>
      </c>
      <c r="B33" t="s">
        <v>991</v>
      </c>
      <c r="C33" t="s">
        <v>1299</v>
      </c>
      <c r="D33" t="s">
        <v>992</v>
      </c>
      <c r="E33" s="10" t="s">
        <v>1243</v>
      </c>
      <c r="F33">
        <v>4.3</v>
      </c>
      <c r="G33">
        <v>4.3</v>
      </c>
    </row>
    <row r="34" spans="1:8">
      <c r="A34" t="s">
        <v>953</v>
      </c>
      <c r="B34" t="s">
        <v>1300</v>
      </c>
      <c r="C34" t="s">
        <v>1301</v>
      </c>
      <c r="D34" s="90" t="s">
        <v>1302</v>
      </c>
      <c r="E34" s="10" t="s">
        <v>1243</v>
      </c>
      <c r="F34">
        <v>4</v>
      </c>
      <c r="G34">
        <v>4.4000000000000004</v>
      </c>
    </row>
    <row r="37" spans="1:8">
      <c r="A37" t="s">
        <v>953</v>
      </c>
      <c r="B37" t="s">
        <v>1303</v>
      </c>
      <c r="C37" t="s">
        <v>1304</v>
      </c>
      <c r="D37" s="90" t="s">
        <v>1305</v>
      </c>
      <c r="E37" s="10" t="s">
        <v>1243</v>
      </c>
      <c r="F37">
        <v>4.3</v>
      </c>
      <c r="G37">
        <v>4.3</v>
      </c>
    </row>
    <row r="38" spans="1:8">
      <c r="A38" t="s">
        <v>953</v>
      </c>
      <c r="B38" t="s">
        <v>1306</v>
      </c>
      <c r="C38" t="s">
        <v>1296</v>
      </c>
      <c r="D38" t="s">
        <v>1005</v>
      </c>
      <c r="E38" s="10" t="s">
        <v>1243</v>
      </c>
      <c r="F38">
        <v>4.3</v>
      </c>
      <c r="G38">
        <v>4.3</v>
      </c>
    </row>
    <row r="39" spans="1:8" s="96" customFormat="1">
      <c r="A39" s="96" t="s">
        <v>953</v>
      </c>
      <c r="B39" s="96" t="s">
        <v>1307</v>
      </c>
      <c r="C39" s="96" t="s">
        <v>1308</v>
      </c>
      <c r="D39" s="98" t="s">
        <v>1309</v>
      </c>
      <c r="E39" s="97" t="s">
        <v>1310</v>
      </c>
      <c r="F39" s="96">
        <v>3.5</v>
      </c>
      <c r="G39" s="96">
        <v>4.5</v>
      </c>
    </row>
    <row r="40" spans="1:8" ht="15.75">
      <c r="A40" t="s">
        <v>953</v>
      </c>
      <c r="B40" t="s">
        <v>1311</v>
      </c>
      <c r="C40" t="s">
        <v>1312</v>
      </c>
      <c r="D40" s="92" t="s">
        <v>1313</v>
      </c>
      <c r="E40" s="10" t="s">
        <v>1243</v>
      </c>
      <c r="F40">
        <v>4.0999999999999996</v>
      </c>
      <c r="G40">
        <v>4.5</v>
      </c>
    </row>
    <row r="41" spans="1:8">
      <c r="A41" t="s">
        <v>953</v>
      </c>
      <c r="B41" s="17" t="s">
        <v>1314</v>
      </c>
    </row>
    <row r="42" spans="1:8">
      <c r="A42" t="s">
        <v>953</v>
      </c>
      <c r="B42" t="s">
        <v>1315</v>
      </c>
      <c r="C42" t="s">
        <v>1316</v>
      </c>
      <c r="D42" t="s">
        <v>1008</v>
      </c>
      <c r="E42" s="10" t="s">
        <v>1243</v>
      </c>
      <c r="F42">
        <v>4.4000000000000004</v>
      </c>
      <c r="G42">
        <v>4.4000000000000004</v>
      </c>
    </row>
    <row r="43" spans="1:8">
      <c r="A43" t="s">
        <v>953</v>
      </c>
      <c r="B43" t="s">
        <v>1317</v>
      </c>
      <c r="C43" t="s">
        <v>587</v>
      </c>
      <c r="D43" s="93" t="s">
        <v>1318</v>
      </c>
      <c r="F43">
        <v>4.25</v>
      </c>
    </row>
    <row r="44" spans="1:8">
      <c r="A44" t="s">
        <v>953</v>
      </c>
      <c r="B44" t="s">
        <v>1319</v>
      </c>
      <c r="C44" t="s">
        <v>1320</v>
      </c>
      <c r="F44">
        <v>4</v>
      </c>
      <c r="G44">
        <v>4</v>
      </c>
    </row>
    <row r="45" spans="1:8">
      <c r="A45" t="s">
        <v>953</v>
      </c>
      <c r="B45" t="s">
        <v>1321</v>
      </c>
      <c r="C45" t="s">
        <v>1322</v>
      </c>
      <c r="D45" s="16" t="s">
        <v>1323</v>
      </c>
      <c r="E45" s="10" t="s">
        <v>1243</v>
      </c>
      <c r="F45">
        <v>4.3</v>
      </c>
      <c r="G45">
        <v>4.4000000000000004</v>
      </c>
    </row>
    <row r="46" spans="1:8">
      <c r="A46" t="s">
        <v>953</v>
      </c>
      <c r="B46" t="s">
        <v>1324</v>
      </c>
      <c r="C46" t="s">
        <v>1325</v>
      </c>
      <c r="D46" s="89" t="s">
        <v>1326</v>
      </c>
      <c r="E46" s="10" t="s">
        <v>1243</v>
      </c>
      <c r="F46">
        <v>4.4000000000000004</v>
      </c>
      <c r="G46">
        <v>4.4000000000000004</v>
      </c>
    </row>
    <row r="47" spans="1:8">
      <c r="A47" t="s">
        <v>953</v>
      </c>
      <c r="B47" t="s">
        <v>1327</v>
      </c>
      <c r="C47" t="s">
        <v>1328</v>
      </c>
      <c r="D47" s="91" t="s">
        <v>1329</v>
      </c>
      <c r="E47" s="10" t="s">
        <v>1243</v>
      </c>
      <c r="F47">
        <v>4.0999999999999996</v>
      </c>
      <c r="H47" t="s">
        <v>1330</v>
      </c>
    </row>
    <row r="48" spans="1:8" s="96" customFormat="1">
      <c r="A48" s="96" t="s">
        <v>953</v>
      </c>
      <c r="B48" s="96" t="s">
        <v>1331</v>
      </c>
      <c r="C48" s="96" t="s">
        <v>1332</v>
      </c>
      <c r="E48" s="97" t="s">
        <v>1333</v>
      </c>
      <c r="F48" s="96">
        <v>3.5</v>
      </c>
    </row>
    <row r="49" spans="1:11" s="96" customFormat="1">
      <c r="A49" s="96" t="s">
        <v>953</v>
      </c>
      <c r="B49" s="96" t="s">
        <v>1334</v>
      </c>
      <c r="C49" s="96" t="s">
        <v>587</v>
      </c>
      <c r="D49" s="98" t="s">
        <v>1335</v>
      </c>
      <c r="E49" s="97" t="s">
        <v>1238</v>
      </c>
      <c r="F49" s="96">
        <v>4.2</v>
      </c>
      <c r="G49" s="96">
        <v>4.4000000000000004</v>
      </c>
    </row>
    <row r="50" spans="1:11" s="96" customFormat="1">
      <c r="A50" s="96" t="s">
        <v>953</v>
      </c>
      <c r="B50" s="96" t="s">
        <v>1336</v>
      </c>
      <c r="C50" s="96" t="s">
        <v>1337</v>
      </c>
      <c r="D50" s="98" t="s">
        <v>1338</v>
      </c>
      <c r="E50" s="97" t="s">
        <v>1246</v>
      </c>
      <c r="F50" s="96">
        <v>4.4000000000000004</v>
      </c>
      <c r="H50" s="96" t="s">
        <v>1339</v>
      </c>
    </row>
    <row r="51" spans="1:11">
      <c r="A51" t="s">
        <v>953</v>
      </c>
      <c r="B51" t="s">
        <v>1340</v>
      </c>
      <c r="C51" t="s">
        <v>525</v>
      </c>
      <c r="D51" s="89" t="s">
        <v>1341</v>
      </c>
      <c r="E51" s="10" t="s">
        <v>1243</v>
      </c>
      <c r="F51">
        <v>4.3</v>
      </c>
      <c r="I51" t="s">
        <v>1342</v>
      </c>
    </row>
    <row r="52" spans="1:11">
      <c r="A52" t="s">
        <v>953</v>
      </c>
      <c r="B52" t="s">
        <v>1343</v>
      </c>
      <c r="C52" t="s">
        <v>1344</v>
      </c>
      <c r="D52" s="91" t="s">
        <v>1345</v>
      </c>
      <c r="E52" s="10" t="s">
        <v>1243</v>
      </c>
      <c r="F52">
        <v>4.3</v>
      </c>
      <c r="G52">
        <v>4.4000000000000004</v>
      </c>
      <c r="K52" t="s">
        <v>1346</v>
      </c>
    </row>
    <row r="107" spans="1:16">
      <c r="A107" t="s">
        <v>953</v>
      </c>
      <c r="B107" t="s">
        <v>952</v>
      </c>
      <c r="C107" t="s">
        <v>123</v>
      </c>
      <c r="E107" s="10">
        <v>5</v>
      </c>
      <c r="F107">
        <v>5</v>
      </c>
      <c r="G107">
        <v>5</v>
      </c>
      <c r="I107">
        <v>3.5</v>
      </c>
      <c r="J107">
        <v>3.5</v>
      </c>
      <c r="K107">
        <v>4.5</v>
      </c>
      <c r="L107">
        <v>4</v>
      </c>
      <c r="M107">
        <v>5</v>
      </c>
      <c r="N107">
        <v>5</v>
      </c>
      <c r="P107">
        <v>3</v>
      </c>
    </row>
    <row r="108" spans="1:16">
      <c r="A108" t="s">
        <v>953</v>
      </c>
      <c r="B108" t="s">
        <v>1347</v>
      </c>
      <c r="C108" t="s">
        <v>200</v>
      </c>
      <c r="D108">
        <v>5</v>
      </c>
      <c r="E108" s="10">
        <v>5</v>
      </c>
      <c r="F108">
        <v>3.5</v>
      </c>
      <c r="G108">
        <v>3</v>
      </c>
      <c r="H108">
        <v>4</v>
      </c>
      <c r="I108">
        <v>3.5</v>
      </c>
      <c r="J108">
        <v>3.5</v>
      </c>
      <c r="K108">
        <v>3.5</v>
      </c>
      <c r="L108">
        <v>3.5</v>
      </c>
      <c r="M108">
        <v>3.5</v>
      </c>
      <c r="N108">
        <v>3.5</v>
      </c>
    </row>
    <row r="109" spans="1:16">
      <c r="A109" t="s">
        <v>996</v>
      </c>
      <c r="B109" t="s">
        <v>1348</v>
      </c>
      <c r="C109" t="s">
        <v>1349</v>
      </c>
      <c r="E109" s="10">
        <v>4</v>
      </c>
      <c r="F109">
        <v>4</v>
      </c>
      <c r="G109">
        <v>2</v>
      </c>
      <c r="I109">
        <v>4.5</v>
      </c>
      <c r="J109">
        <v>3.5</v>
      </c>
      <c r="K109">
        <v>2</v>
      </c>
      <c r="O109">
        <v>3</v>
      </c>
    </row>
    <row r="110" spans="1:16">
      <c r="A110" t="s">
        <v>953</v>
      </c>
      <c r="B110" t="s">
        <v>1350</v>
      </c>
      <c r="C110" t="s">
        <v>123</v>
      </c>
      <c r="D110">
        <v>4</v>
      </c>
      <c r="E110" s="10">
        <v>4</v>
      </c>
      <c r="F110">
        <v>4.5</v>
      </c>
      <c r="G110">
        <v>4.5</v>
      </c>
      <c r="I110">
        <v>3</v>
      </c>
      <c r="J110">
        <v>4</v>
      </c>
      <c r="K110">
        <v>4</v>
      </c>
      <c r="L110">
        <v>4</v>
      </c>
      <c r="M110">
        <v>4</v>
      </c>
      <c r="N110">
        <v>4</v>
      </c>
    </row>
    <row r="111" spans="1:16">
      <c r="A111" t="s">
        <v>953</v>
      </c>
      <c r="B111" t="s">
        <v>1351</v>
      </c>
      <c r="C111" t="s">
        <v>200</v>
      </c>
      <c r="F111">
        <v>4</v>
      </c>
      <c r="H111">
        <v>4</v>
      </c>
      <c r="J111">
        <v>3</v>
      </c>
    </row>
    <row r="112" spans="1:16">
      <c r="A112" t="s">
        <v>953</v>
      </c>
      <c r="B112" t="s">
        <v>1352</v>
      </c>
      <c r="C112" t="s">
        <v>123</v>
      </c>
      <c r="D112">
        <v>4</v>
      </c>
      <c r="E112" s="10">
        <v>4</v>
      </c>
      <c r="F112">
        <v>4</v>
      </c>
      <c r="G112">
        <v>4</v>
      </c>
    </row>
    <row r="113" spans="1:18">
      <c r="A113" t="s">
        <v>953</v>
      </c>
      <c r="B113" t="s">
        <v>1353</v>
      </c>
      <c r="C113" t="s">
        <v>200</v>
      </c>
      <c r="F113">
        <v>4.5</v>
      </c>
      <c r="H113">
        <v>4.5</v>
      </c>
      <c r="J113">
        <v>3</v>
      </c>
    </row>
    <row r="114" spans="1:18">
      <c r="A114" t="s">
        <v>953</v>
      </c>
      <c r="B114" t="s">
        <v>1354</v>
      </c>
      <c r="C114" t="s">
        <v>123</v>
      </c>
      <c r="F114">
        <v>4</v>
      </c>
      <c r="G114">
        <v>4</v>
      </c>
    </row>
    <row r="115" spans="1:18">
      <c r="A115" t="s">
        <v>953</v>
      </c>
      <c r="B115" t="s">
        <v>1355</v>
      </c>
      <c r="C115" t="s">
        <v>1356</v>
      </c>
      <c r="E115" s="10">
        <v>4</v>
      </c>
      <c r="F115">
        <v>4</v>
      </c>
      <c r="I115">
        <v>4</v>
      </c>
      <c r="J115">
        <v>4</v>
      </c>
      <c r="O115">
        <v>4</v>
      </c>
    </row>
    <row r="116" spans="1:18">
      <c r="A116" t="s">
        <v>1357</v>
      </c>
      <c r="B116" t="s">
        <v>1358</v>
      </c>
      <c r="C116" t="s">
        <v>200</v>
      </c>
      <c r="F116">
        <v>4</v>
      </c>
      <c r="H116">
        <v>4</v>
      </c>
    </row>
    <row r="117" spans="1:18">
      <c r="A117" t="s">
        <v>953</v>
      </c>
      <c r="B117" t="s">
        <v>1359</v>
      </c>
      <c r="C117" t="s">
        <v>123</v>
      </c>
      <c r="F117">
        <v>4</v>
      </c>
      <c r="G117">
        <v>4</v>
      </c>
    </row>
    <row r="118" spans="1:18">
      <c r="A118" t="s">
        <v>996</v>
      </c>
      <c r="B118" t="s">
        <v>1360</v>
      </c>
      <c r="C118" t="s">
        <v>123</v>
      </c>
      <c r="F118">
        <v>4</v>
      </c>
      <c r="G118">
        <v>4</v>
      </c>
    </row>
    <row r="119" spans="1:18">
      <c r="A119" t="s">
        <v>953</v>
      </c>
      <c r="B119" t="s">
        <v>1361</v>
      </c>
      <c r="C119" t="s">
        <v>200</v>
      </c>
      <c r="F119">
        <v>4.5</v>
      </c>
      <c r="H119">
        <v>4.5</v>
      </c>
      <c r="J119">
        <v>3</v>
      </c>
    </row>
    <row r="120" spans="1:18">
      <c r="A120" t="s">
        <v>953</v>
      </c>
      <c r="B120" t="s">
        <v>1362</v>
      </c>
      <c r="C120" t="s">
        <v>123</v>
      </c>
      <c r="F120">
        <v>4.5</v>
      </c>
      <c r="G120">
        <v>4.5</v>
      </c>
    </row>
    <row r="121" spans="1:18">
      <c r="A121" t="s">
        <v>996</v>
      </c>
      <c r="B121" t="s">
        <v>1363</v>
      </c>
      <c r="C121" t="s">
        <v>893</v>
      </c>
      <c r="F121">
        <v>4.5</v>
      </c>
    </row>
    <row r="122" spans="1:18">
      <c r="A122" t="s">
        <v>1364</v>
      </c>
      <c r="B122" t="s">
        <v>1365</v>
      </c>
      <c r="C122" t="s">
        <v>474</v>
      </c>
      <c r="F122">
        <v>4</v>
      </c>
      <c r="H122">
        <v>3.5</v>
      </c>
      <c r="I122">
        <v>3.5</v>
      </c>
      <c r="J122">
        <v>4</v>
      </c>
    </row>
    <row r="123" spans="1:18">
      <c r="A123" t="s">
        <v>996</v>
      </c>
      <c r="B123" t="s">
        <v>1366</v>
      </c>
      <c r="C123" t="s">
        <v>1367</v>
      </c>
      <c r="F123">
        <v>4</v>
      </c>
      <c r="H123">
        <v>4.5</v>
      </c>
      <c r="I123">
        <v>0</v>
      </c>
      <c r="J123">
        <v>0</v>
      </c>
      <c r="K123" t="s">
        <v>1368</v>
      </c>
      <c r="L123">
        <v>2</v>
      </c>
      <c r="M123">
        <v>4</v>
      </c>
      <c r="N123">
        <v>4</v>
      </c>
    </row>
    <row r="125" spans="1:18">
      <c r="A125" t="s">
        <v>953</v>
      </c>
      <c r="B125" t="s">
        <v>1369</v>
      </c>
      <c r="C125" t="s">
        <v>136</v>
      </c>
      <c r="E125" s="10">
        <v>4</v>
      </c>
      <c r="F125">
        <v>4</v>
      </c>
      <c r="G125">
        <v>4</v>
      </c>
      <c r="I125">
        <v>2</v>
      </c>
      <c r="J125">
        <v>2</v>
      </c>
      <c r="K125" t="s">
        <v>1370</v>
      </c>
      <c r="L125">
        <v>4</v>
      </c>
      <c r="N125">
        <v>4</v>
      </c>
      <c r="R125" t="s">
        <v>1371</v>
      </c>
    </row>
    <row r="126" spans="1:18">
      <c r="A126" t="s">
        <v>953</v>
      </c>
      <c r="B126" t="s">
        <v>1372</v>
      </c>
      <c r="C126" t="s">
        <v>200</v>
      </c>
      <c r="E126" s="10">
        <v>4.5</v>
      </c>
      <c r="F126">
        <v>4.5</v>
      </c>
      <c r="H126">
        <v>4</v>
      </c>
      <c r="I126">
        <v>4</v>
      </c>
      <c r="J126">
        <v>4</v>
      </c>
      <c r="K126" t="s">
        <v>1368</v>
      </c>
      <c r="L126">
        <v>4</v>
      </c>
      <c r="M126">
        <v>4</v>
      </c>
      <c r="N126">
        <v>4</v>
      </c>
      <c r="O126">
        <v>4</v>
      </c>
      <c r="R126" t="s">
        <v>1373</v>
      </c>
    </row>
    <row r="130" spans="1:15">
      <c r="A130" t="s">
        <v>953</v>
      </c>
    </row>
    <row r="131" spans="1:15">
      <c r="B131" t="s">
        <v>1374</v>
      </c>
      <c r="C131" t="s">
        <v>200</v>
      </c>
      <c r="F131">
        <v>3.5</v>
      </c>
    </row>
    <row r="132" spans="1:15">
      <c r="B132" t="s">
        <v>1375</v>
      </c>
      <c r="C132" t="s">
        <v>123</v>
      </c>
      <c r="D132">
        <v>4.5</v>
      </c>
      <c r="F132">
        <v>4</v>
      </c>
      <c r="G132">
        <v>4.5</v>
      </c>
      <c r="K132">
        <v>4</v>
      </c>
    </row>
    <row r="133" spans="1:15">
      <c r="B133" t="s">
        <v>1376</v>
      </c>
      <c r="C133" t="s">
        <v>123</v>
      </c>
      <c r="F133">
        <v>4</v>
      </c>
    </row>
    <row r="134" spans="1:15">
      <c r="B134" t="s">
        <v>1377</v>
      </c>
      <c r="C134" t="s">
        <v>200</v>
      </c>
      <c r="D134">
        <v>5</v>
      </c>
      <c r="E134" s="10">
        <v>5</v>
      </c>
      <c r="F134">
        <v>4.3</v>
      </c>
      <c r="H134">
        <v>4</v>
      </c>
      <c r="I134">
        <v>2.5</v>
      </c>
      <c r="J134">
        <v>4.5</v>
      </c>
    </row>
    <row r="135" spans="1:15">
      <c r="B135" t="s">
        <v>1378</v>
      </c>
      <c r="C135" t="s">
        <v>286</v>
      </c>
      <c r="F135">
        <v>3.5</v>
      </c>
      <c r="O135">
        <v>4.5</v>
      </c>
    </row>
    <row r="136" spans="1:15">
      <c r="B136" t="s">
        <v>1379</v>
      </c>
      <c r="C136" t="s">
        <v>123</v>
      </c>
      <c r="F136">
        <v>4.2</v>
      </c>
      <c r="G136">
        <v>4.7</v>
      </c>
    </row>
    <row r="137" spans="1:15">
      <c r="B137" t="s">
        <v>1380</v>
      </c>
      <c r="C137" t="s">
        <v>123</v>
      </c>
      <c r="F137">
        <v>4.2</v>
      </c>
      <c r="G137">
        <v>4.5</v>
      </c>
    </row>
  </sheetData>
  <hyperlinks>
    <hyperlink ref="D11" r:id="rId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7"/>
  <sheetViews>
    <sheetView workbookViewId="0">
      <selection activeCell="D18" sqref="D18"/>
    </sheetView>
  </sheetViews>
  <sheetFormatPr defaultColWidth="9.140625" defaultRowHeight="15"/>
  <cols>
    <col min="1" max="1" width="9.28515625"/>
    <col min="2" max="2" width="12.85546875" customWidth="1"/>
    <col min="3" max="3" width="16" customWidth="1"/>
    <col min="5" max="5" width="33.140625" customWidth="1"/>
  </cols>
  <sheetData>
    <row r="2" spans="1:2">
      <c r="A2" s="8" t="s">
        <v>942</v>
      </c>
      <c r="B2">
        <v>16817356682</v>
      </c>
    </row>
    <row r="3" spans="1:2">
      <c r="A3" s="8"/>
    </row>
    <row r="4" spans="1:2">
      <c r="A4" s="8"/>
    </row>
    <row r="5" spans="1:2">
      <c r="A5" s="8"/>
    </row>
    <row r="6" spans="1:2">
      <c r="A6" s="8"/>
    </row>
    <row r="7" spans="1:2">
      <c r="A7" s="8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"/>
  <sheetViews>
    <sheetView workbookViewId="0">
      <selection activeCell="O25" sqref="A1:O25"/>
    </sheetView>
  </sheetViews>
  <sheetFormatPr defaultColWidth="9.140625" defaultRowHeight="15"/>
  <sheetData>
    <row r="1" spans="1:8">
      <c r="A1" s="1" t="s">
        <v>1381</v>
      </c>
      <c r="B1" s="1" t="s">
        <v>1382</v>
      </c>
      <c r="C1" s="1" t="s">
        <v>1383</v>
      </c>
      <c r="D1" s="1" t="s">
        <v>1384</v>
      </c>
      <c r="E1" s="1" t="s">
        <v>1385</v>
      </c>
      <c r="F1" s="1" t="s">
        <v>1386</v>
      </c>
      <c r="G1" s="2"/>
      <c r="H1" s="3"/>
    </row>
    <row r="2" spans="1:8">
      <c r="A2" s="4" t="s">
        <v>1387</v>
      </c>
      <c r="B2" s="5" t="s">
        <v>1388</v>
      </c>
      <c r="C2" s="5" t="s">
        <v>1389</v>
      </c>
      <c r="D2" s="6" t="s">
        <v>1390</v>
      </c>
      <c r="E2" s="6" t="s">
        <v>1391</v>
      </c>
      <c r="F2" s="7">
        <v>8437</v>
      </c>
      <c r="G2" s="7">
        <v>2006</v>
      </c>
      <c r="H2" s="5" t="s">
        <v>1392</v>
      </c>
    </row>
    <row r="3" spans="1:8">
      <c r="A3" s="3"/>
      <c r="B3" s="3" t="s">
        <v>1393</v>
      </c>
      <c r="C3" s="3"/>
      <c r="D3" s="3"/>
      <c r="E3" s="3"/>
      <c r="F3" s="3"/>
      <c r="G3" s="3"/>
      <c r="H3" s="3"/>
    </row>
    <row r="4" spans="1:8">
      <c r="A4" s="3"/>
      <c r="B4" s="3"/>
      <c r="C4" s="3"/>
      <c r="D4" s="3"/>
      <c r="E4" s="3"/>
      <c r="F4" s="3"/>
      <c r="G4" s="3"/>
      <c r="H4" s="3"/>
    </row>
  </sheetData>
  <hyperlinks>
    <hyperlink ref="D2" r:id="rId1" tooltip="https://api.68sms.com/api/sms/get?key=3266f02bc09eb46d0bc5dec07cd59b9f" xr:uid="{00000000-0004-0000-0900-000000000000}"/>
    <hyperlink ref="E2" r:id="rId2" xr:uid="{00000000-0004-0000-0900-000001000000}"/>
    <hyperlink ref="A2" r:id="rId3" tooltip="mailto:elianaqax682@hotmail.com" xr:uid="{00000000-0004-0000-0900-000002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Bank Account</vt:lpstr>
      <vt:lpstr>Interviewnew-2024</vt:lpstr>
      <vt:lpstr>New Battle</vt:lpstr>
      <vt:lpstr>Dev Info</vt:lpstr>
      <vt:lpstr>Shipping</vt:lpstr>
      <vt:lpstr>Income</vt:lpstr>
      <vt:lpstr>Profile Manage</vt:lpstr>
      <vt:lpstr>Devs</vt:lpstr>
      <vt:lpstr>Sheet2</vt:lpstr>
      <vt:lpstr>Linkedin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Chen Arthur</cp:lastModifiedBy>
  <dcterms:created xsi:type="dcterms:W3CDTF">2015-06-05T12:17:00Z</dcterms:created>
  <dcterms:modified xsi:type="dcterms:W3CDTF">2026-03-01T00:56:55Z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5CB3834F5DE641AD92FF7DD503721538_13</vt:lpwstr>
  </property>
  <property fmtid="{D5CDD505-2E9C-101B-9397-08002B2CF9AE}" pid="3" name="KSOProductBuildVer">
    <vt:lpwstr>1033-12.2.0.21546</vt:lpwstr>
  </property>
</Properties>
</file>